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"/>
    </mc:Choice>
  </mc:AlternateContent>
  <xr:revisionPtr revIDLastSave="0" documentId="13_ncr:1_{B8798730-FFE3-5345-A54D-02E2B684AEB7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" i="1" l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2" i="1"/>
  <c r="V16" i="1"/>
  <c r="V17" i="1"/>
  <c r="V26" i="1"/>
  <c r="V20" i="1"/>
  <c r="V6" i="1"/>
  <c r="V12" i="1"/>
  <c r="V15" i="1"/>
  <c r="V14" i="1"/>
  <c r="V27" i="1"/>
  <c r="V32" i="1"/>
  <c r="V22" i="1"/>
  <c r="V24" i="1"/>
  <c r="V30" i="1"/>
  <c r="V41" i="1"/>
  <c r="V37" i="1"/>
  <c r="V43" i="1"/>
  <c r="V40" i="1"/>
  <c r="V42" i="1"/>
  <c r="V49" i="1"/>
  <c r="V51" i="1"/>
  <c r="V50" i="1"/>
  <c r="V47" i="1"/>
  <c r="V46" i="1"/>
  <c r="V52" i="1"/>
  <c r="V48" i="1"/>
  <c r="V45" i="1"/>
  <c r="V38" i="1"/>
  <c r="V36" i="1"/>
  <c r="V44" i="1"/>
  <c r="V39" i="1"/>
  <c r="V35" i="1"/>
  <c r="V29" i="1"/>
  <c r="V18" i="1"/>
  <c r="V23" i="1"/>
  <c r="V34" i="1"/>
  <c r="V31" i="1"/>
  <c r="V33" i="1"/>
  <c r="V28" i="1"/>
  <c r="V21" i="1"/>
  <c r="V9" i="1"/>
  <c r="V25" i="1"/>
  <c r="V19" i="1"/>
  <c r="V3" i="1"/>
  <c r="V7" i="1"/>
  <c r="V4" i="1"/>
  <c r="V11" i="1"/>
  <c r="V8" i="1"/>
  <c r="V5" i="1"/>
  <c r="V2" i="1"/>
  <c r="V10" i="1"/>
  <c r="V13" i="1"/>
</calcChain>
</file>

<file path=xl/sharedStrings.xml><?xml version="1.0" encoding="utf-8"?>
<sst xmlns="http://schemas.openxmlformats.org/spreadsheetml/2006/main" count="23" uniqueCount="23">
  <si>
    <t>t</t>
  </si>
  <si>
    <t>right_0</t>
  </si>
  <si>
    <t>right_1</t>
  </si>
  <si>
    <t>right_2</t>
  </si>
  <si>
    <t>right_3</t>
  </si>
  <si>
    <t>right_4</t>
  </si>
  <si>
    <t>right_5</t>
  </si>
  <si>
    <t>right_6</t>
  </si>
  <si>
    <t>right_7</t>
  </si>
  <si>
    <t>right_8</t>
  </si>
  <si>
    <t>right_9</t>
  </si>
  <si>
    <t>left_0</t>
  </si>
  <si>
    <t>left_1</t>
  </si>
  <si>
    <t>left_2</t>
  </si>
  <si>
    <t>left_3</t>
  </si>
  <si>
    <t>left_4</t>
  </si>
  <si>
    <t>left_5</t>
  </si>
  <si>
    <t>left_6</t>
  </si>
  <si>
    <t>left_7</t>
  </si>
  <si>
    <t>left_8</t>
  </si>
  <si>
    <t>left_9</t>
  </si>
  <si>
    <t>stde_mean</t>
  </si>
  <si>
    <t>mean_cort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</si>
</sst>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2"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Sheet1!$V$2:$V$52</c:f>
              <c:numCache>
                <c:formatCode>General</c:formatCode>
                <c:ptCount val="51"/>
                <c:pt idx="0">
                  <c:v>-3.9553000000000001E-3</c:v>
                </c:pt>
                <c:pt idx="1">
                  <c:v>-1.8682999999999998E-3</c:v>
                </c:pt>
                <c:pt idx="2">
                  <c:v>-1.8024999999999998E-3</c:v>
                </c:pt>
                <c:pt idx="3">
                  <c:v>-1.7021000000000002E-3</c:v>
                </c:pt>
                <c:pt idx="4">
                  <c:v>-1.1424E-3</c:v>
                </c:pt>
                <c:pt idx="5">
                  <c:v>-9.5060000000000001E-4</c:v>
                </c:pt>
                <c:pt idx="6">
                  <c:v>-4.6320000000000009E-4</c:v>
                </c:pt>
                <c:pt idx="7">
                  <c:v>-1.1620000000000009E-4</c:v>
                </c:pt>
                <c:pt idx="8">
                  <c:v>-7.2999999999999714E-5</c:v>
                </c:pt>
                <c:pt idx="9">
                  <c:v>1.3659999999999974E-4</c:v>
                </c:pt>
                <c:pt idx="10">
                  <c:v>4.4980000000000004E-4</c:v>
                </c:pt>
                <c:pt idx="11">
                  <c:v>9.1629999999999988E-4</c:v>
                </c:pt>
                <c:pt idx="12">
                  <c:v>1.1041999999999998E-3</c:v>
                </c:pt>
                <c:pt idx="13">
                  <c:v>1.1731000000000001E-3</c:v>
                </c:pt>
                <c:pt idx="14">
                  <c:v>1.6653999999999998E-3</c:v>
                </c:pt>
                <c:pt idx="15">
                  <c:v>2.2741000000000003E-3</c:v>
                </c:pt>
                <c:pt idx="16">
                  <c:v>2.6346E-3</c:v>
                </c:pt>
                <c:pt idx="17">
                  <c:v>3.0090999999999998E-3</c:v>
                </c:pt>
                <c:pt idx="18">
                  <c:v>3.4002999999999998E-3</c:v>
                </c:pt>
                <c:pt idx="19">
                  <c:v>3.5401999999999994E-3</c:v>
                </c:pt>
                <c:pt idx="20">
                  <c:v>3.833099999999999E-3</c:v>
                </c:pt>
                <c:pt idx="21">
                  <c:v>3.9643000000000005E-3</c:v>
                </c:pt>
                <c:pt idx="22">
                  <c:v>4.3048000000000001E-3</c:v>
                </c:pt>
                <c:pt idx="23">
                  <c:v>4.6095999999999993E-3</c:v>
                </c:pt>
                <c:pt idx="24">
                  <c:v>4.7178999999999997E-3</c:v>
                </c:pt>
                <c:pt idx="25">
                  <c:v>4.9500000000000013E-3</c:v>
                </c:pt>
                <c:pt idx="26">
                  <c:v>5.1324000000000005E-3</c:v>
                </c:pt>
                <c:pt idx="27">
                  <c:v>6.0359999999999997E-3</c:v>
                </c:pt>
                <c:pt idx="28">
                  <c:v>7.0076000000000001E-3</c:v>
                </c:pt>
                <c:pt idx="29">
                  <c:v>7.2632E-3</c:v>
                </c:pt>
                <c:pt idx="30">
                  <c:v>7.4044000000000002E-3</c:v>
                </c:pt>
                <c:pt idx="31">
                  <c:v>7.4680000000000007E-3</c:v>
                </c:pt>
                <c:pt idx="32">
                  <c:v>7.7683000000000006E-3</c:v>
                </c:pt>
                <c:pt idx="33">
                  <c:v>9.4978000000000007E-3</c:v>
                </c:pt>
                <c:pt idx="34">
                  <c:v>9.9381999999999977E-3</c:v>
                </c:pt>
                <c:pt idx="35">
                  <c:v>1.1199399999999998E-2</c:v>
                </c:pt>
                <c:pt idx="36">
                  <c:v>1.12739E-2</c:v>
                </c:pt>
                <c:pt idx="37">
                  <c:v>1.13299E-2</c:v>
                </c:pt>
                <c:pt idx="38">
                  <c:v>1.1524499999999998E-2</c:v>
                </c:pt>
                <c:pt idx="39">
                  <c:v>1.19416E-2</c:v>
                </c:pt>
                <c:pt idx="40">
                  <c:v>1.2165700000000002E-2</c:v>
                </c:pt>
                <c:pt idx="41">
                  <c:v>1.2450099999999999E-2</c:v>
                </c:pt>
                <c:pt idx="42">
                  <c:v>1.2832999999999997E-2</c:v>
                </c:pt>
                <c:pt idx="43">
                  <c:v>1.3201600000000003E-2</c:v>
                </c:pt>
                <c:pt idx="44">
                  <c:v>1.4171599999999998E-2</c:v>
                </c:pt>
                <c:pt idx="45">
                  <c:v>1.5059200000000003E-2</c:v>
                </c:pt>
                <c:pt idx="46">
                  <c:v>1.5181700000000001E-2</c:v>
                </c:pt>
                <c:pt idx="47">
                  <c:v>1.5228800000000001E-2</c:v>
                </c:pt>
                <c:pt idx="48">
                  <c:v>1.6037099999999999E-2</c:v>
                </c:pt>
                <c:pt idx="49">
                  <c:v>1.6082600000000002E-2</c:v>
                </c:pt>
                <c:pt idx="50">
                  <c:v>1.8142799999999997E-2</c:v>
                </c:pt>
              </c:numCache>
            </c:numRef>
          </c:xVal>
          <c:yVal>
            <c:numRef>
              <c:f>Sheet1!$W$2:$W$52</c:f>
              <c:numCache>
                <c:formatCode>General</c:formatCode>
                <c:ptCount val="51"/>
                <c:pt idx="0">
                  <c:v>1.2032720917739697E-3</c:v>
                </c:pt>
                <c:pt idx="1">
                  <c:v>1.706201876282985E-3</c:v>
                </c:pt>
                <c:pt idx="2">
                  <c:v>1.0750036633964508E-3</c:v>
                </c:pt>
                <c:pt idx="3">
                  <c:v>1.8390652701562107E-3</c:v>
                </c:pt>
                <c:pt idx="4">
                  <c:v>2.5620531121492551E-3</c:v>
                </c:pt>
                <c:pt idx="5">
                  <c:v>1.4232612816308444E-3</c:v>
                </c:pt>
                <c:pt idx="6">
                  <c:v>1.4806323144272908E-3</c:v>
                </c:pt>
                <c:pt idx="7">
                  <c:v>1.63746866518834E-3</c:v>
                </c:pt>
                <c:pt idx="8">
                  <c:v>1.7750370907911222E-3</c:v>
                </c:pt>
                <c:pt idx="9">
                  <c:v>1.7360055214561722E-3</c:v>
                </c:pt>
                <c:pt idx="10">
                  <c:v>2.7142879357015047E-3</c:v>
                </c:pt>
                <c:pt idx="11">
                  <c:v>1.9900493171619744E-3</c:v>
                </c:pt>
                <c:pt idx="12">
                  <c:v>2.9907717747131848E-3</c:v>
                </c:pt>
                <c:pt idx="13">
                  <c:v>2.6699451984322784E-3</c:v>
                </c:pt>
                <c:pt idx="14">
                  <c:v>2.3638374603486105E-3</c:v>
                </c:pt>
                <c:pt idx="15">
                  <c:v>1.2924199067111115E-3</c:v>
                </c:pt>
                <c:pt idx="16">
                  <c:v>1.4681286161928083E-3</c:v>
                </c:pt>
                <c:pt idx="17">
                  <c:v>1.2337930793417423E-3</c:v>
                </c:pt>
                <c:pt idx="18">
                  <c:v>1.9796431072557656E-3</c:v>
                </c:pt>
                <c:pt idx="19">
                  <c:v>1.5155164685069539E-3</c:v>
                </c:pt>
                <c:pt idx="20">
                  <c:v>2.6651726308262397E-3</c:v>
                </c:pt>
                <c:pt idx="21">
                  <c:v>1.4744267755015129E-3</c:v>
                </c:pt>
                <c:pt idx="22">
                  <c:v>3.3110284581269176E-3</c:v>
                </c:pt>
                <c:pt idx="23">
                  <c:v>9.4959002344779226E-4</c:v>
                </c:pt>
                <c:pt idx="24">
                  <c:v>1.3215106286288232E-3</c:v>
                </c:pt>
                <c:pt idx="25">
                  <c:v>2.310401733123712E-3</c:v>
                </c:pt>
                <c:pt idx="26">
                  <c:v>1.2353280672291918E-3</c:v>
                </c:pt>
                <c:pt idx="27">
                  <c:v>1.273125143722701E-3</c:v>
                </c:pt>
                <c:pt idx="28">
                  <c:v>2.8914838973131173E-3</c:v>
                </c:pt>
                <c:pt idx="29">
                  <c:v>1.541441556329317E-3</c:v>
                </c:pt>
                <c:pt idx="30">
                  <c:v>2.9024544408229099E-3</c:v>
                </c:pt>
                <c:pt idx="31">
                  <c:v>9.8689116874525079E-4</c:v>
                </c:pt>
                <c:pt idx="32">
                  <c:v>1.6172063405436969E-3</c:v>
                </c:pt>
                <c:pt idx="33">
                  <c:v>1.5545723013099127E-3</c:v>
                </c:pt>
                <c:pt idx="34">
                  <c:v>2.1555682015605422E-3</c:v>
                </c:pt>
                <c:pt idx="35">
                  <c:v>2.410979465083151E-3</c:v>
                </c:pt>
                <c:pt idx="36">
                  <c:v>2.3549987315897801E-3</c:v>
                </c:pt>
                <c:pt idx="37">
                  <c:v>1.6134723863701374E-3</c:v>
                </c:pt>
                <c:pt idx="38">
                  <c:v>2.1547268534916199E-3</c:v>
                </c:pt>
                <c:pt idx="39">
                  <c:v>2.1572859610850706E-3</c:v>
                </c:pt>
                <c:pt idx="40">
                  <c:v>2.5913503532247217E-3</c:v>
                </c:pt>
                <c:pt idx="41">
                  <c:v>2.3611640471107517E-3</c:v>
                </c:pt>
                <c:pt idx="42">
                  <c:v>1.0405597532097829E-3</c:v>
                </c:pt>
                <c:pt idx="43">
                  <c:v>3.1480087042613557E-3</c:v>
                </c:pt>
                <c:pt idx="44">
                  <c:v>2.3052694652401099E-3</c:v>
                </c:pt>
                <c:pt idx="45">
                  <c:v>2.5758207701623952E-3</c:v>
                </c:pt>
                <c:pt idx="46">
                  <c:v>2.2921755054739448E-3</c:v>
                </c:pt>
                <c:pt idx="47">
                  <c:v>1.7775893664706346E-3</c:v>
                </c:pt>
                <c:pt idx="48">
                  <c:v>2.0675934509523518E-3</c:v>
                </c:pt>
                <c:pt idx="49">
                  <c:v>2.3899123044910844E-3</c:v>
                </c:pt>
                <c:pt idx="50">
                  <c:v>2.6810543523024671E-3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30-1F49-8B12-BF84169897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772943"/>
        <c:axId val="634600287"/>
      </c:scatterChart>
      <c:valAx>
        <c:axId val="63477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Mean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600287"/>
        <c:crosses val="autoZero"/>
        <c:crossBetween val="midCat"/>
      </c:valAx>
      <c:valAx>
        <c:axId val="6346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000"/>
                  <a:t>STDEV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477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577850</xdr:colOff>
      <xdr:row>1</xdr:row>
      <xdr:rowOff>184150</xdr:rowOff>
    </xdr:from>
    <xdr:to>
      <xdr:col>37</xdr:col>
      <xdr:colOff>279400</xdr:colOff>
      <xdr:row>28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17EF624-123F-1B9C-7828-0FA9BD6E12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E32E9-1CCC-2A49-9894-BB301F04E093}" name="Table1" displayName="Table1" ref="A1:W52" totalsRowShown="0" headerRowDxfId="1">
  <autoFilter ref="A1:W52" xr:uid="{129E32E9-1CCC-2A49-9894-BB301F04E093}"/>
  <sortState xmlns:xlrd2="http://schemas.microsoft.com/office/spreadsheetml/2017/richdata2" ref="A2:W52">
    <sortCondition ref="V1:V52"/>
  </sortState>
  <tableColumns count="23">
    <tableColumn id="1" xr3:uid="{B8274656-9A94-894A-875B-EB2AE446B033}" name="t"/>
    <tableColumn id="2" xr3:uid="{84888AD7-FDC9-A547-BD59-311E9C9D2E9C}" name="right_0"/>
    <tableColumn id="3" xr3:uid="{B2037342-5192-BA47-A89A-D9A42E0ADF7C}" name="right_1"/>
    <tableColumn id="4" xr3:uid="{3DB05307-6FDD-994E-BD8F-38DEDC815196}" name="right_2"/>
    <tableColumn id="5" xr3:uid="{C8FB7EAC-229C-624B-9D86-614D18FEABAE}" name="right_3"/>
    <tableColumn id="6" xr3:uid="{FEC084FF-50C2-134F-8879-B8C33F9D9E6D}" name="right_4"/>
    <tableColumn id="7" xr3:uid="{2FD57D68-186F-B44C-BD7E-F7E326C83A20}" name="right_5"/>
    <tableColumn id="8" xr3:uid="{E8354D03-AA61-5743-9132-BF5DD940B555}" name="right_6"/>
    <tableColumn id="9" xr3:uid="{3CD32393-7DDD-C24A-B087-97C11804406B}" name="right_7"/>
    <tableColumn id="10" xr3:uid="{7073F063-192E-FE42-A1C5-22514EBAD207}" name="right_8"/>
    <tableColumn id="11" xr3:uid="{54DEE300-2F7E-E645-9F1F-4E9152DCBBF5}" name="right_9"/>
    <tableColumn id="12" xr3:uid="{4E8D8E64-F0D5-CC4C-A898-7A52E792370C}" name="left_0"/>
    <tableColumn id="13" xr3:uid="{4A0D86A5-760E-4B40-9441-512E89A2E243}" name="left_1"/>
    <tableColumn id="14" xr3:uid="{68DB1035-FFC6-024F-B445-4A1D6F27DE33}" name="left_2"/>
    <tableColumn id="15" xr3:uid="{E594027B-7389-BA4F-9520-B99021D1DA83}" name="left_3"/>
    <tableColumn id="16" xr3:uid="{84941966-DB48-374F-8C0B-7D2032DBD61B}" name="left_4"/>
    <tableColumn id="17" xr3:uid="{19713ABB-25FC-F046-BCD8-6442B8690A75}" name="left_5"/>
    <tableColumn id="18" xr3:uid="{D39DB2DB-60C2-C341-BED6-F237E2470E51}" name="left_6"/>
    <tableColumn id="19" xr3:uid="{A9F08664-82EF-9F40-B23D-98546E73AD93}" name="left_7"/>
    <tableColumn id="20" xr3:uid="{0FDB735D-8EAB-6D40-A3D5-0CC7433BFD6A}" name="left_8"/>
    <tableColumn id="21" xr3:uid="{5678F0B0-4506-B447-B4EE-50A44395EAA1}" name="left_9"/>
    <tableColumn id="22" xr3:uid="{24BFBD33-DE92-C24A-A830-89EC00CD251F}" name="mean_cort">
      <calculatedColumnFormula>AVERAGE(B2:U2)</calculatedColumnFormula>
    </tableColumn>
    <tableColumn id="23" xr3:uid="{7FD6BAE2-BAB1-E54D-8F55-136B6380FE18}" name="stde_mean" dataDxfId="0">
      <calculatedColumnFormula xml:space="preserve"> STDEV(B2:U2)/SQRT(COUNT(B2:U2))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2"/>
  <sheetViews>
    <sheetView tabSelected="1" topLeftCell="C1" zoomScale="75" workbookViewId="0">
      <selection activeCell="V3" sqref="V3:W52"/>
    </sheetView>
  </sheetViews>
  <sheetFormatPr baseColWidth="10" defaultColWidth="8.83203125" defaultRowHeight="15" x14ac:dyDescent="0.2"/>
  <cols>
    <col min="2" max="11" width="9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22</v>
      </c>
      <c r="W1" s="2" t="s">
        <v>21</v>
      </c>
    </row>
    <row r="2" spans="1:23" x14ac:dyDescent="0.2">
      <c r="A2">
        <v>245</v>
      </c>
      <c r="B2">
        <v>-2.0699999999999998E-3</v>
      </c>
      <c r="C2">
        <v>8.92E-4</v>
      </c>
      <c r="D2">
        <v>-4.15E-3</v>
      </c>
      <c r="E2">
        <v>9.9500000000000001E-4</v>
      </c>
      <c r="F2">
        <v>-5.1500000000000001E-3</v>
      </c>
      <c r="G2">
        <v>1.1800000000000001E-3</v>
      </c>
      <c r="H2">
        <v>-1.5879999999999998E-2</v>
      </c>
      <c r="I2">
        <v>-2.8800000000000002E-3</v>
      </c>
      <c r="J2">
        <v>-1.67E-3</v>
      </c>
      <c r="K2">
        <v>-1.082E-2</v>
      </c>
      <c r="L2">
        <v>-2.0699999999999998E-3</v>
      </c>
      <c r="M2">
        <v>8.92E-4</v>
      </c>
      <c r="N2">
        <v>-4.15E-3</v>
      </c>
      <c r="O2">
        <v>9.9500000000000001E-4</v>
      </c>
      <c r="P2">
        <v>-5.1500000000000001E-3</v>
      </c>
      <c r="Q2">
        <v>1.1800000000000001E-3</v>
      </c>
      <c r="R2">
        <v>-1.5879999999999998E-2</v>
      </c>
      <c r="S2">
        <v>-2.8800000000000002E-3</v>
      </c>
      <c r="T2">
        <v>-1.67E-3</v>
      </c>
      <c r="U2">
        <v>-1.082E-2</v>
      </c>
      <c r="V2">
        <f t="shared" ref="V2:V33" si="0">AVERAGE(B2:U2)</f>
        <v>-3.9553000000000001E-3</v>
      </c>
      <c r="W2">
        <f t="shared" ref="W2:W52" si="1" xml:space="preserve"> STDEV(B2:U2)/SQRT(COUNT(B2:U2))</f>
        <v>1.2032720917739697E-3</v>
      </c>
    </row>
    <row r="3" spans="1:23" x14ac:dyDescent="0.2">
      <c r="A3">
        <v>215</v>
      </c>
      <c r="B3">
        <v>-3.49E-3</v>
      </c>
      <c r="C3">
        <v>-5.7299999999999999E-3</v>
      </c>
      <c r="D3">
        <v>-4.8799999999999998E-3</v>
      </c>
      <c r="E3">
        <v>1.658E-3</v>
      </c>
      <c r="F3">
        <v>7.4399999999999998E-4</v>
      </c>
      <c r="G3">
        <v>3.3779999999999999E-3</v>
      </c>
      <c r="H3">
        <v>-2.0629999999999999E-2</v>
      </c>
      <c r="I3">
        <v>6.8279999999999999E-3</v>
      </c>
      <c r="J3">
        <v>5.3489999999999996E-3</v>
      </c>
      <c r="K3">
        <v>-1.91E-3</v>
      </c>
      <c r="L3">
        <v>-3.49E-3</v>
      </c>
      <c r="M3">
        <v>-5.7299999999999999E-3</v>
      </c>
      <c r="N3">
        <v>-4.8799999999999998E-3</v>
      </c>
      <c r="O3">
        <v>1.658E-3</v>
      </c>
      <c r="P3">
        <v>7.4399999999999998E-4</v>
      </c>
      <c r="Q3">
        <v>3.3779999999999999E-3</v>
      </c>
      <c r="R3">
        <v>-2.0629999999999999E-2</v>
      </c>
      <c r="S3">
        <v>6.8279999999999999E-3</v>
      </c>
      <c r="T3">
        <v>5.3489999999999996E-3</v>
      </c>
      <c r="U3">
        <v>-1.91E-3</v>
      </c>
      <c r="V3">
        <f t="shared" si="0"/>
        <v>-1.8682999999999998E-3</v>
      </c>
      <c r="W3">
        <f t="shared" si="1"/>
        <v>1.706201876282985E-3</v>
      </c>
    </row>
    <row r="4" spans="1:23" x14ac:dyDescent="0.2">
      <c r="A4">
        <v>225</v>
      </c>
      <c r="B4">
        <v>-1.34E-3</v>
      </c>
      <c r="C4">
        <v>-1.324E-2</v>
      </c>
      <c r="D4">
        <v>-4.15E-3</v>
      </c>
      <c r="E4">
        <v>-3.6700000000000001E-3</v>
      </c>
      <c r="F4">
        <v>-1.9599999999999999E-3</v>
      </c>
      <c r="G4">
        <v>-1.6199999999999999E-3</v>
      </c>
      <c r="H4">
        <v>-5.1999999999999995E-4</v>
      </c>
      <c r="I4">
        <v>2.2130000000000001E-3</v>
      </c>
      <c r="J4">
        <v>5.6839999999999998E-3</v>
      </c>
      <c r="K4">
        <v>5.7799999999999995E-4</v>
      </c>
      <c r="L4">
        <v>-1.34E-3</v>
      </c>
      <c r="M4">
        <v>-1.324E-2</v>
      </c>
      <c r="N4">
        <v>-4.15E-3</v>
      </c>
      <c r="O4">
        <v>-3.6700000000000001E-3</v>
      </c>
      <c r="P4">
        <v>-1.9599999999999999E-3</v>
      </c>
      <c r="Q4">
        <v>-1.6199999999999999E-3</v>
      </c>
      <c r="R4">
        <v>-5.1999999999999995E-4</v>
      </c>
      <c r="S4">
        <v>2.2130000000000001E-3</v>
      </c>
      <c r="T4">
        <v>5.6839999999999998E-3</v>
      </c>
      <c r="U4">
        <v>5.7799999999999995E-4</v>
      </c>
      <c r="V4">
        <f t="shared" si="0"/>
        <v>-1.8024999999999998E-3</v>
      </c>
      <c r="W4">
        <f t="shared" si="1"/>
        <v>1.0750036633964508E-3</v>
      </c>
    </row>
    <row r="5" spans="1:23" x14ac:dyDescent="0.2">
      <c r="A5">
        <v>240</v>
      </c>
      <c r="B5">
        <v>-5.64E-3</v>
      </c>
      <c r="C5">
        <v>3.784E-3</v>
      </c>
      <c r="D5">
        <v>4.993E-3</v>
      </c>
      <c r="E5">
        <v>2.4450000000000001E-3</v>
      </c>
      <c r="F5">
        <v>-2.6900000000000001E-3</v>
      </c>
      <c r="G5">
        <v>7.0559999999999998E-3</v>
      </c>
      <c r="H5">
        <v>-8.2299999999999995E-3</v>
      </c>
      <c r="I5">
        <v>-1.1690000000000001E-2</v>
      </c>
      <c r="J5">
        <v>8.8909999999999996E-3</v>
      </c>
      <c r="K5">
        <v>-1.5939999999999999E-2</v>
      </c>
      <c r="L5">
        <v>-5.64E-3</v>
      </c>
      <c r="M5">
        <v>3.784E-3</v>
      </c>
      <c r="N5">
        <v>4.993E-3</v>
      </c>
      <c r="O5">
        <v>2.4450000000000001E-3</v>
      </c>
      <c r="P5">
        <v>-2.6900000000000001E-3</v>
      </c>
      <c r="Q5">
        <v>7.0559999999999998E-3</v>
      </c>
      <c r="R5">
        <v>-8.2299999999999995E-3</v>
      </c>
      <c r="S5">
        <v>-1.1690000000000001E-2</v>
      </c>
      <c r="T5">
        <v>8.8909999999999996E-3</v>
      </c>
      <c r="U5">
        <v>-1.5939999999999999E-2</v>
      </c>
      <c r="V5">
        <f t="shared" si="0"/>
        <v>-1.7021000000000002E-3</v>
      </c>
      <c r="W5">
        <f t="shared" si="1"/>
        <v>1.8390652701562107E-3</v>
      </c>
    </row>
    <row r="6" spans="1:23" x14ac:dyDescent="0.2">
      <c r="A6">
        <v>25</v>
      </c>
      <c r="B6">
        <v>6.718E-3</v>
      </c>
      <c r="C6">
        <v>-1.042E-2</v>
      </c>
      <c r="D6">
        <v>1.4017E-2</v>
      </c>
      <c r="E6">
        <v>1.5993E-2</v>
      </c>
      <c r="F6">
        <v>-1.052E-2</v>
      </c>
      <c r="G6">
        <v>-9.0299999999999998E-3</v>
      </c>
      <c r="H6">
        <v>9.8279999999999999E-3</v>
      </c>
      <c r="I6">
        <v>-1.07E-3</v>
      </c>
      <c r="J6">
        <v>-1.2619999999999999E-2</v>
      </c>
      <c r="K6">
        <v>-1.4319999999999999E-2</v>
      </c>
      <c r="L6">
        <v>6.718E-3</v>
      </c>
      <c r="M6">
        <v>-1.042E-2</v>
      </c>
      <c r="N6">
        <v>1.4017E-2</v>
      </c>
      <c r="O6">
        <v>1.5993E-2</v>
      </c>
      <c r="P6">
        <v>-1.052E-2</v>
      </c>
      <c r="Q6">
        <v>-9.0299999999999998E-3</v>
      </c>
      <c r="R6">
        <v>9.8279999999999999E-3</v>
      </c>
      <c r="S6">
        <v>-1.07E-3</v>
      </c>
      <c r="T6">
        <v>-1.2619999999999999E-2</v>
      </c>
      <c r="U6">
        <v>-1.4319999999999999E-2</v>
      </c>
      <c r="V6">
        <f t="shared" si="0"/>
        <v>-1.1424E-3</v>
      </c>
      <c r="W6">
        <f t="shared" si="1"/>
        <v>2.5620531121492551E-3</v>
      </c>
    </row>
    <row r="7" spans="1:23" x14ac:dyDescent="0.2">
      <c r="A7">
        <v>220</v>
      </c>
      <c r="B7">
        <v>-8.0599999999999995E-3</v>
      </c>
      <c r="C7">
        <v>6.4499999999999996E-4</v>
      </c>
      <c r="D7">
        <v>-5.2399999999999999E-3</v>
      </c>
      <c r="E7">
        <v>3.6310000000000001E-3</v>
      </c>
      <c r="F7">
        <v>-2.9299999999999999E-3</v>
      </c>
      <c r="G7">
        <v>7.3980000000000001E-3</v>
      </c>
      <c r="H7">
        <v>-1.311E-2</v>
      </c>
      <c r="I7">
        <v>4.9810000000000002E-3</v>
      </c>
      <c r="J7">
        <v>4.9690000000000003E-3</v>
      </c>
      <c r="K7">
        <v>-1.7899999999999999E-3</v>
      </c>
      <c r="L7">
        <v>-8.0599999999999995E-3</v>
      </c>
      <c r="M7">
        <v>6.4499999999999996E-4</v>
      </c>
      <c r="N7">
        <v>-5.2399999999999999E-3</v>
      </c>
      <c r="O7">
        <v>3.6310000000000001E-3</v>
      </c>
      <c r="P7">
        <v>-2.9299999999999999E-3</v>
      </c>
      <c r="Q7">
        <v>7.3980000000000001E-3</v>
      </c>
      <c r="R7">
        <v>-1.311E-2</v>
      </c>
      <c r="S7">
        <v>4.9810000000000002E-3</v>
      </c>
      <c r="T7">
        <v>4.9690000000000003E-3</v>
      </c>
      <c r="U7">
        <v>-1.7899999999999999E-3</v>
      </c>
      <c r="V7">
        <f t="shared" si="0"/>
        <v>-9.5060000000000001E-4</v>
      </c>
      <c r="W7">
        <f t="shared" si="1"/>
        <v>1.4232612816308444E-3</v>
      </c>
    </row>
    <row r="8" spans="1:23" x14ac:dyDescent="0.2">
      <c r="A8">
        <v>235</v>
      </c>
      <c r="B8">
        <v>2.32E-4</v>
      </c>
      <c r="C8">
        <v>1.8370000000000001E-3</v>
      </c>
      <c r="D8">
        <v>2.918E-3</v>
      </c>
      <c r="E8">
        <v>-3.14E-3</v>
      </c>
      <c r="F8">
        <v>8.3699999999999996E-4</v>
      </c>
      <c r="G8">
        <v>3.9389999999999998E-3</v>
      </c>
      <c r="H8">
        <v>-8.3000000000000001E-3</v>
      </c>
      <c r="I8">
        <v>2.8600000000000001E-3</v>
      </c>
      <c r="J8">
        <v>9.0650000000000001E-3</v>
      </c>
      <c r="K8">
        <v>-1.4880000000000001E-2</v>
      </c>
      <c r="L8">
        <v>2.32E-4</v>
      </c>
      <c r="M8">
        <v>1.8370000000000001E-3</v>
      </c>
      <c r="N8">
        <v>2.918E-3</v>
      </c>
      <c r="O8">
        <v>-3.14E-3</v>
      </c>
      <c r="P8">
        <v>8.3699999999999996E-4</v>
      </c>
      <c r="Q8">
        <v>3.9389999999999998E-3</v>
      </c>
      <c r="R8">
        <v>-8.3000000000000001E-3</v>
      </c>
      <c r="S8">
        <v>2.8600000000000001E-3</v>
      </c>
      <c r="T8">
        <v>9.0650000000000001E-3</v>
      </c>
      <c r="U8">
        <v>-1.4880000000000001E-2</v>
      </c>
      <c r="V8">
        <f t="shared" si="0"/>
        <v>-4.6320000000000009E-4</v>
      </c>
      <c r="W8">
        <f t="shared" si="1"/>
        <v>1.4806323144272908E-3</v>
      </c>
    </row>
    <row r="9" spans="1:23" x14ac:dyDescent="0.2">
      <c r="A9">
        <v>200</v>
      </c>
      <c r="B9">
        <v>-5.9100000000000003E-3</v>
      </c>
      <c r="C9">
        <v>-8.8599999999999998E-3</v>
      </c>
      <c r="D9">
        <v>3.1900000000000001E-3</v>
      </c>
      <c r="E9">
        <v>-1.5399999999999999E-3</v>
      </c>
      <c r="F9">
        <v>-1.56E-3</v>
      </c>
      <c r="G9">
        <v>1.0969E-2</v>
      </c>
      <c r="H9">
        <v>-9.6799999999999994E-3</v>
      </c>
      <c r="I9">
        <v>1.792E-3</v>
      </c>
      <c r="J9">
        <v>1.2617E-2</v>
      </c>
      <c r="K9">
        <v>-2.1800000000000001E-3</v>
      </c>
      <c r="L9">
        <v>-5.9100000000000003E-3</v>
      </c>
      <c r="M9">
        <v>-8.8599999999999998E-3</v>
      </c>
      <c r="N9">
        <v>3.1900000000000001E-3</v>
      </c>
      <c r="O9">
        <v>-1.5399999999999999E-3</v>
      </c>
      <c r="P9">
        <v>-1.56E-3</v>
      </c>
      <c r="Q9">
        <v>1.0969E-2</v>
      </c>
      <c r="R9">
        <v>-9.6799999999999994E-3</v>
      </c>
      <c r="S9">
        <v>1.792E-3</v>
      </c>
      <c r="T9">
        <v>1.2617E-2</v>
      </c>
      <c r="U9">
        <v>-2.1800000000000001E-3</v>
      </c>
      <c r="V9">
        <f t="shared" si="0"/>
        <v>-1.1620000000000009E-4</v>
      </c>
      <c r="W9">
        <f t="shared" si="1"/>
        <v>1.63746866518834E-3</v>
      </c>
    </row>
    <row r="10" spans="1:23" x14ac:dyDescent="0.2">
      <c r="A10">
        <v>250</v>
      </c>
      <c r="B10">
        <v>-2.31E-3</v>
      </c>
      <c r="C10">
        <v>9.6620000000000004E-3</v>
      </c>
      <c r="D10">
        <v>4.7559999999999998E-3</v>
      </c>
      <c r="E10">
        <v>5.4619999999999998E-3</v>
      </c>
      <c r="F10">
        <v>-3.0599999999999998E-3</v>
      </c>
      <c r="G10">
        <v>5.5329999999999997E-3</v>
      </c>
      <c r="H10">
        <v>-1.5959999999999998E-2</v>
      </c>
      <c r="I10">
        <v>1.549E-3</v>
      </c>
      <c r="J10">
        <v>4.888E-3</v>
      </c>
      <c r="K10">
        <v>-1.125E-2</v>
      </c>
      <c r="L10">
        <v>-2.31E-3</v>
      </c>
      <c r="M10">
        <v>9.6620000000000004E-3</v>
      </c>
      <c r="N10">
        <v>4.7559999999999998E-3</v>
      </c>
      <c r="O10">
        <v>5.4619999999999998E-3</v>
      </c>
      <c r="P10">
        <v>-3.0599999999999998E-3</v>
      </c>
      <c r="Q10">
        <v>5.5329999999999997E-3</v>
      </c>
      <c r="R10">
        <v>-1.5959999999999998E-2</v>
      </c>
      <c r="S10">
        <v>1.549E-3</v>
      </c>
      <c r="T10">
        <v>4.888E-3</v>
      </c>
      <c r="U10">
        <v>-1.125E-2</v>
      </c>
      <c r="V10">
        <f t="shared" si="0"/>
        <v>-7.2999999999999714E-5</v>
      </c>
      <c r="W10">
        <f t="shared" si="1"/>
        <v>1.7750370907911222E-3</v>
      </c>
    </row>
    <row r="11" spans="1:23" x14ac:dyDescent="0.2">
      <c r="A11">
        <v>230</v>
      </c>
      <c r="B11">
        <v>-5.96E-3</v>
      </c>
      <c r="C11">
        <v>2.372E-3</v>
      </c>
      <c r="D11">
        <v>6.097E-3</v>
      </c>
      <c r="E11">
        <v>-3.5500000000000002E-3</v>
      </c>
      <c r="F11">
        <v>-1.58E-3</v>
      </c>
      <c r="G11">
        <v>4.9119999999999997E-3</v>
      </c>
      <c r="H11">
        <v>-1.6320000000000001E-2</v>
      </c>
      <c r="I11">
        <v>1.3677999999999999E-2</v>
      </c>
      <c r="J11">
        <v>4.46E-4</v>
      </c>
      <c r="K11">
        <v>1.271E-3</v>
      </c>
      <c r="L11">
        <v>-5.96E-3</v>
      </c>
      <c r="M11">
        <v>2.372E-3</v>
      </c>
      <c r="N11">
        <v>6.097E-3</v>
      </c>
      <c r="O11">
        <v>-3.5500000000000002E-3</v>
      </c>
      <c r="P11">
        <v>-1.58E-3</v>
      </c>
      <c r="Q11">
        <v>4.9119999999999997E-3</v>
      </c>
      <c r="R11">
        <v>-1.6320000000000001E-2</v>
      </c>
      <c r="S11">
        <v>1.3677999999999999E-2</v>
      </c>
      <c r="T11">
        <v>4.46E-4</v>
      </c>
      <c r="U11">
        <v>1.271E-3</v>
      </c>
      <c r="V11">
        <f t="shared" si="0"/>
        <v>1.3659999999999974E-4</v>
      </c>
      <c r="W11">
        <f t="shared" si="1"/>
        <v>1.7360055214561722E-3</v>
      </c>
    </row>
    <row r="12" spans="1:23" x14ac:dyDescent="0.2">
      <c r="A12">
        <v>30</v>
      </c>
      <c r="B12">
        <v>1.1566999999999999E-2</v>
      </c>
      <c r="C12">
        <v>-3.3700000000000002E-3</v>
      </c>
      <c r="D12">
        <v>9.7990000000000004E-3</v>
      </c>
      <c r="E12">
        <v>1.6258000000000002E-2</v>
      </c>
      <c r="F12">
        <v>-4.3499999999999997E-3</v>
      </c>
      <c r="G12">
        <v>-1.7760000000000001E-2</v>
      </c>
      <c r="H12">
        <v>1.7384E-2</v>
      </c>
      <c r="I12">
        <v>-5.7499999999999999E-3</v>
      </c>
      <c r="J12">
        <v>-1.4160000000000001E-2</v>
      </c>
      <c r="K12">
        <v>-5.1200000000000004E-3</v>
      </c>
      <c r="L12">
        <v>1.1566999999999999E-2</v>
      </c>
      <c r="M12">
        <v>-3.3700000000000002E-3</v>
      </c>
      <c r="N12">
        <v>9.7990000000000004E-3</v>
      </c>
      <c r="O12">
        <v>1.6258000000000002E-2</v>
      </c>
      <c r="P12">
        <v>-4.3499999999999997E-3</v>
      </c>
      <c r="Q12">
        <v>-1.7760000000000001E-2</v>
      </c>
      <c r="R12">
        <v>1.7384E-2</v>
      </c>
      <c r="S12">
        <v>-5.7499999999999999E-3</v>
      </c>
      <c r="T12">
        <v>-1.4160000000000001E-2</v>
      </c>
      <c r="U12">
        <v>-5.1200000000000004E-3</v>
      </c>
      <c r="V12">
        <f t="shared" si="0"/>
        <v>4.4980000000000004E-4</v>
      </c>
      <c r="W12">
        <f t="shared" si="1"/>
        <v>2.7142879357015047E-3</v>
      </c>
    </row>
    <row r="13" spans="1:23" x14ac:dyDescent="0.2">
      <c r="A13">
        <v>0</v>
      </c>
      <c r="B13">
        <v>1.5758999999999999E-2</v>
      </c>
      <c r="C13">
        <v>4.5040000000000002E-3</v>
      </c>
      <c r="D13">
        <v>5.6169999999999996E-3</v>
      </c>
      <c r="E13">
        <v>3.2200000000000002E-4</v>
      </c>
      <c r="F13">
        <v>7.6000000000000004E-4</v>
      </c>
      <c r="G13">
        <v>-1.179E-2</v>
      </c>
      <c r="H13">
        <v>-1.2449999999999999E-2</v>
      </c>
      <c r="I13">
        <v>1.2141000000000001E-2</v>
      </c>
      <c r="J13">
        <v>-3.9300000000000003E-3</v>
      </c>
      <c r="K13">
        <v>-1.7700000000000001E-3</v>
      </c>
      <c r="L13">
        <v>1.5758999999999999E-2</v>
      </c>
      <c r="M13">
        <v>4.5040000000000002E-3</v>
      </c>
      <c r="N13">
        <v>5.6169999999999996E-3</v>
      </c>
      <c r="O13">
        <v>3.2200000000000002E-4</v>
      </c>
      <c r="P13">
        <v>7.6000000000000004E-4</v>
      </c>
      <c r="Q13">
        <v>-1.179E-2</v>
      </c>
      <c r="R13">
        <v>-1.2449999999999999E-2</v>
      </c>
      <c r="S13">
        <v>1.2141000000000001E-2</v>
      </c>
      <c r="T13">
        <v>-3.9300000000000003E-3</v>
      </c>
      <c r="U13">
        <v>-1.7700000000000001E-3</v>
      </c>
      <c r="V13">
        <f t="shared" si="0"/>
        <v>9.1629999999999988E-4</v>
      </c>
      <c r="W13">
        <f t="shared" si="1"/>
        <v>1.9900493171619744E-3</v>
      </c>
    </row>
    <row r="14" spans="1:23" x14ac:dyDescent="0.2">
      <c r="A14">
        <v>40</v>
      </c>
      <c r="B14">
        <v>-2.6870000000000002E-2</v>
      </c>
      <c r="C14">
        <v>4.411E-3</v>
      </c>
      <c r="D14">
        <v>-3.5E-4</v>
      </c>
      <c r="E14">
        <v>2.3078000000000001E-2</v>
      </c>
      <c r="F14">
        <v>5.5699999999999999E-4</v>
      </c>
      <c r="G14">
        <v>-9.1699999999999993E-3</v>
      </c>
      <c r="H14">
        <v>1.5678999999999998E-2</v>
      </c>
      <c r="I14">
        <v>3.1389999999999999E-3</v>
      </c>
      <c r="J14">
        <v>-6.6899999999999998E-3</v>
      </c>
      <c r="K14">
        <v>7.2579999999999997E-3</v>
      </c>
      <c r="L14">
        <v>-2.6870000000000002E-2</v>
      </c>
      <c r="M14">
        <v>4.411E-3</v>
      </c>
      <c r="N14">
        <v>-3.5E-4</v>
      </c>
      <c r="O14">
        <v>2.3078000000000001E-2</v>
      </c>
      <c r="P14">
        <v>5.5699999999999999E-4</v>
      </c>
      <c r="Q14">
        <v>-9.1699999999999993E-3</v>
      </c>
      <c r="R14">
        <v>1.5678999999999998E-2</v>
      </c>
      <c r="S14">
        <v>3.1389999999999999E-3</v>
      </c>
      <c r="T14">
        <v>-6.6899999999999998E-3</v>
      </c>
      <c r="U14">
        <v>7.2579999999999997E-3</v>
      </c>
      <c r="V14">
        <f t="shared" si="0"/>
        <v>1.1041999999999998E-3</v>
      </c>
      <c r="W14">
        <f t="shared" si="1"/>
        <v>2.9907717747131848E-3</v>
      </c>
    </row>
    <row r="15" spans="1:23" x14ac:dyDescent="0.2">
      <c r="A15">
        <v>35</v>
      </c>
      <c r="B15">
        <v>-3.8800000000000002E-3</v>
      </c>
      <c r="C15">
        <v>-5.6100000000000004E-3</v>
      </c>
      <c r="D15">
        <v>4.0439999999999999E-3</v>
      </c>
      <c r="E15">
        <v>2.9253000000000001E-2</v>
      </c>
      <c r="F15">
        <v>-3.47E-3</v>
      </c>
      <c r="G15">
        <v>-1.7239999999999998E-2</v>
      </c>
      <c r="H15">
        <v>4.4229999999999998E-3</v>
      </c>
      <c r="I15">
        <v>-1.2999999999999999E-4</v>
      </c>
      <c r="J15">
        <v>-5.2900000000000004E-3</v>
      </c>
      <c r="K15">
        <v>9.6310000000000007E-3</v>
      </c>
      <c r="L15">
        <v>-3.8800000000000002E-3</v>
      </c>
      <c r="M15">
        <v>-5.6100000000000004E-3</v>
      </c>
      <c r="N15">
        <v>4.0439999999999999E-3</v>
      </c>
      <c r="O15">
        <v>2.9253000000000001E-2</v>
      </c>
      <c r="P15">
        <v>-3.47E-3</v>
      </c>
      <c r="Q15">
        <v>-1.7239999999999998E-2</v>
      </c>
      <c r="R15">
        <v>4.4229999999999998E-3</v>
      </c>
      <c r="S15">
        <v>-1.2999999999999999E-4</v>
      </c>
      <c r="T15">
        <v>-5.2900000000000004E-3</v>
      </c>
      <c r="U15">
        <v>9.6310000000000007E-3</v>
      </c>
      <c r="V15">
        <f t="shared" si="0"/>
        <v>1.1731000000000001E-3</v>
      </c>
      <c r="W15">
        <f t="shared" si="1"/>
        <v>2.6699451984322784E-3</v>
      </c>
    </row>
    <row r="16" spans="1:23" x14ac:dyDescent="0.2">
      <c r="A16">
        <v>5</v>
      </c>
      <c r="B16">
        <v>1.8634000000000001E-2</v>
      </c>
      <c r="C16">
        <v>2.6879999999999999E-3</v>
      </c>
      <c r="D16">
        <v>9.4509999999999993E-3</v>
      </c>
      <c r="E16">
        <v>-1.0749999999999999E-2</v>
      </c>
      <c r="F16">
        <v>5.7549999999999997E-3</v>
      </c>
      <c r="G16">
        <v>-7.4400000000000004E-3</v>
      </c>
      <c r="H16">
        <v>-1.736E-2</v>
      </c>
      <c r="I16">
        <v>9.1129999999999996E-3</v>
      </c>
      <c r="J16">
        <v>-9.3999999999999997E-4</v>
      </c>
      <c r="K16">
        <v>7.5030000000000001E-3</v>
      </c>
      <c r="L16">
        <v>1.8634000000000001E-2</v>
      </c>
      <c r="M16">
        <v>2.6879999999999999E-3</v>
      </c>
      <c r="N16">
        <v>9.4509999999999993E-3</v>
      </c>
      <c r="O16">
        <v>-1.0749999999999999E-2</v>
      </c>
      <c r="P16">
        <v>5.7549999999999997E-3</v>
      </c>
      <c r="Q16">
        <v>-7.4400000000000004E-3</v>
      </c>
      <c r="R16">
        <v>-1.736E-2</v>
      </c>
      <c r="S16">
        <v>9.1129999999999996E-3</v>
      </c>
      <c r="T16">
        <v>-9.3999999999999997E-4</v>
      </c>
      <c r="U16">
        <v>7.5030000000000001E-3</v>
      </c>
      <c r="V16">
        <f t="shared" si="0"/>
        <v>1.6653999999999998E-3</v>
      </c>
      <c r="W16">
        <f t="shared" si="1"/>
        <v>2.3638374603486105E-3</v>
      </c>
    </row>
    <row r="17" spans="1:23" x14ac:dyDescent="0.2">
      <c r="A17">
        <v>10</v>
      </c>
      <c r="B17">
        <v>1.5396E-2</v>
      </c>
      <c r="C17">
        <v>-1.56E-3</v>
      </c>
      <c r="D17">
        <v>2.941E-3</v>
      </c>
      <c r="E17">
        <v>5.1380000000000002E-3</v>
      </c>
      <c r="F17">
        <v>-3.4499999999999999E-3</v>
      </c>
      <c r="G17">
        <v>-4.47E-3</v>
      </c>
      <c r="H17">
        <v>-2.5100000000000001E-3</v>
      </c>
      <c r="I17">
        <v>6.6E-3</v>
      </c>
      <c r="J17">
        <v>1.333E-3</v>
      </c>
      <c r="K17">
        <v>3.323E-3</v>
      </c>
      <c r="L17">
        <v>1.5396E-2</v>
      </c>
      <c r="M17">
        <v>-1.56E-3</v>
      </c>
      <c r="N17">
        <v>2.941E-3</v>
      </c>
      <c r="O17">
        <v>5.1380000000000002E-3</v>
      </c>
      <c r="P17">
        <v>-3.4499999999999999E-3</v>
      </c>
      <c r="Q17">
        <v>-4.47E-3</v>
      </c>
      <c r="R17">
        <v>-2.5100000000000001E-3</v>
      </c>
      <c r="S17">
        <v>6.6E-3</v>
      </c>
      <c r="T17">
        <v>1.333E-3</v>
      </c>
      <c r="U17">
        <v>3.323E-3</v>
      </c>
      <c r="V17">
        <f t="shared" si="0"/>
        <v>2.2741000000000003E-3</v>
      </c>
      <c r="W17">
        <f t="shared" si="1"/>
        <v>1.2924199067111115E-3</v>
      </c>
    </row>
    <row r="18" spans="1:23" x14ac:dyDescent="0.2">
      <c r="A18">
        <v>165</v>
      </c>
      <c r="B18">
        <v>-6.7000000000000002E-4</v>
      </c>
      <c r="C18">
        <v>1.3495999999999999E-2</v>
      </c>
      <c r="D18">
        <v>4.64E-4</v>
      </c>
      <c r="E18">
        <v>1.3600000000000001E-3</v>
      </c>
      <c r="F18">
        <v>5.6519999999999999E-3</v>
      </c>
      <c r="G18">
        <v>-3.5E-4</v>
      </c>
      <c r="H18">
        <v>8.2290000000000002E-3</v>
      </c>
      <c r="I18">
        <v>1.0024999999999999E-2</v>
      </c>
      <c r="J18">
        <v>-2.49E-3</v>
      </c>
      <c r="K18">
        <v>-9.3699999999999999E-3</v>
      </c>
      <c r="L18">
        <v>-6.7000000000000002E-4</v>
      </c>
      <c r="M18">
        <v>1.3495999999999999E-2</v>
      </c>
      <c r="N18">
        <v>4.64E-4</v>
      </c>
      <c r="O18">
        <v>1.3600000000000001E-3</v>
      </c>
      <c r="P18">
        <v>5.6519999999999999E-3</v>
      </c>
      <c r="Q18">
        <v>-3.5E-4</v>
      </c>
      <c r="R18">
        <v>8.2290000000000002E-3</v>
      </c>
      <c r="S18">
        <v>1.0024999999999999E-2</v>
      </c>
      <c r="T18">
        <v>-2.49E-3</v>
      </c>
      <c r="U18">
        <v>-9.3699999999999999E-3</v>
      </c>
      <c r="V18">
        <f t="shared" si="0"/>
        <v>2.6346E-3</v>
      </c>
      <c r="W18">
        <f t="shared" si="1"/>
        <v>1.4681286161928083E-3</v>
      </c>
    </row>
    <row r="19" spans="1:23" x14ac:dyDescent="0.2">
      <c r="A19">
        <v>210</v>
      </c>
      <c r="B19">
        <v>-1.6999999999999999E-3</v>
      </c>
      <c r="C19">
        <v>-4.2500000000000003E-3</v>
      </c>
      <c r="D19">
        <v>5.1479999999999998E-3</v>
      </c>
      <c r="E19">
        <v>8.0070000000000002E-3</v>
      </c>
      <c r="F19">
        <v>3.3530000000000001E-3</v>
      </c>
      <c r="G19">
        <v>4.4920000000000003E-3</v>
      </c>
      <c r="H19">
        <v>-5.1000000000000004E-3</v>
      </c>
      <c r="I19">
        <v>1.1161000000000001E-2</v>
      </c>
      <c r="J19">
        <v>9.2800000000000001E-3</v>
      </c>
      <c r="K19">
        <v>-2.9999999999999997E-4</v>
      </c>
      <c r="L19">
        <v>-1.6999999999999999E-3</v>
      </c>
      <c r="M19">
        <v>-4.2500000000000003E-3</v>
      </c>
      <c r="N19">
        <v>5.1479999999999998E-3</v>
      </c>
      <c r="O19">
        <v>8.0070000000000002E-3</v>
      </c>
      <c r="P19">
        <v>3.3530000000000001E-3</v>
      </c>
      <c r="Q19">
        <v>4.4920000000000003E-3</v>
      </c>
      <c r="R19">
        <v>-5.1000000000000004E-3</v>
      </c>
      <c r="S19">
        <v>1.1161000000000001E-2</v>
      </c>
      <c r="T19">
        <v>9.2800000000000001E-3</v>
      </c>
      <c r="U19">
        <v>-2.9999999999999997E-4</v>
      </c>
      <c r="V19">
        <f t="shared" si="0"/>
        <v>3.0090999999999998E-3</v>
      </c>
      <c r="W19">
        <f t="shared" si="1"/>
        <v>1.2337930793417423E-3</v>
      </c>
    </row>
    <row r="20" spans="1:23" x14ac:dyDescent="0.2">
      <c r="A20">
        <v>20</v>
      </c>
      <c r="B20">
        <v>1.1684E-2</v>
      </c>
      <c r="C20">
        <v>-5.4799999999999996E-3</v>
      </c>
      <c r="D20">
        <v>3.673E-3</v>
      </c>
      <c r="E20">
        <v>7.1830000000000001E-3</v>
      </c>
      <c r="F20">
        <v>9.2940000000000002E-3</v>
      </c>
      <c r="G20">
        <v>3.8070000000000001E-3</v>
      </c>
      <c r="H20">
        <v>1.3084E-2</v>
      </c>
      <c r="I20">
        <v>1.1328E-2</v>
      </c>
      <c r="J20">
        <v>-7.4000000000000003E-3</v>
      </c>
      <c r="K20">
        <v>-1.3169999999999999E-2</v>
      </c>
      <c r="L20">
        <v>1.1684E-2</v>
      </c>
      <c r="M20">
        <v>-5.4799999999999996E-3</v>
      </c>
      <c r="N20">
        <v>3.673E-3</v>
      </c>
      <c r="O20">
        <v>7.1830000000000001E-3</v>
      </c>
      <c r="P20">
        <v>9.2940000000000002E-3</v>
      </c>
      <c r="Q20">
        <v>3.8070000000000001E-3</v>
      </c>
      <c r="R20">
        <v>1.3084E-2</v>
      </c>
      <c r="S20">
        <v>1.1328E-2</v>
      </c>
      <c r="T20">
        <v>-7.4000000000000003E-3</v>
      </c>
      <c r="U20">
        <v>-1.3169999999999999E-2</v>
      </c>
      <c r="V20">
        <f t="shared" si="0"/>
        <v>3.4002999999999998E-3</v>
      </c>
      <c r="W20">
        <f t="shared" si="1"/>
        <v>1.9796431072557656E-3</v>
      </c>
    </row>
    <row r="21" spans="1:23" x14ac:dyDescent="0.2">
      <c r="A21">
        <v>195</v>
      </c>
      <c r="B21">
        <v>2.4910000000000002E-3</v>
      </c>
      <c r="C21">
        <v>1.0458E-2</v>
      </c>
      <c r="D21">
        <v>-5.5100000000000001E-3</v>
      </c>
      <c r="E21">
        <v>-4.4400000000000004E-3</v>
      </c>
      <c r="F21">
        <v>2.3609999999999998E-3</v>
      </c>
      <c r="G21">
        <v>-8.7000000000000001E-4</v>
      </c>
      <c r="H21">
        <v>-1.0499999999999999E-3</v>
      </c>
      <c r="I21">
        <v>6.5570000000000003E-3</v>
      </c>
      <c r="J21">
        <v>1.6088999999999999E-2</v>
      </c>
      <c r="K21">
        <v>9.3159999999999996E-3</v>
      </c>
      <c r="L21">
        <v>2.4910000000000002E-3</v>
      </c>
      <c r="M21">
        <v>1.0458E-2</v>
      </c>
      <c r="N21">
        <v>-5.5100000000000001E-3</v>
      </c>
      <c r="O21">
        <v>-4.4400000000000004E-3</v>
      </c>
      <c r="P21">
        <v>2.3609999999999998E-3</v>
      </c>
      <c r="Q21">
        <v>-8.7000000000000001E-4</v>
      </c>
      <c r="R21">
        <v>-1.0499999999999999E-3</v>
      </c>
      <c r="S21">
        <v>6.5570000000000003E-3</v>
      </c>
      <c r="T21">
        <v>1.6088999999999999E-2</v>
      </c>
      <c r="U21">
        <v>9.3159999999999996E-3</v>
      </c>
      <c r="V21">
        <f t="shared" si="0"/>
        <v>3.5401999999999994E-3</v>
      </c>
      <c r="W21">
        <f t="shared" si="1"/>
        <v>1.5155164685069539E-3</v>
      </c>
    </row>
    <row r="22" spans="1:23" x14ac:dyDescent="0.2">
      <c r="A22">
        <v>55</v>
      </c>
      <c r="B22">
        <v>-1.32E-2</v>
      </c>
      <c r="C22">
        <v>-5.2999999999999998E-4</v>
      </c>
      <c r="D22">
        <v>-8.5699999999999995E-3</v>
      </c>
      <c r="E22">
        <v>1.6747000000000001E-2</v>
      </c>
      <c r="F22">
        <v>2.604E-3</v>
      </c>
      <c r="G22">
        <v>1.9588999999999999E-2</v>
      </c>
      <c r="H22">
        <v>1.3287999999999999E-2</v>
      </c>
      <c r="I22">
        <v>2.61E-4</v>
      </c>
      <c r="J22">
        <v>-9.4900000000000002E-3</v>
      </c>
      <c r="K22">
        <v>1.7631999999999998E-2</v>
      </c>
      <c r="L22">
        <v>-1.32E-2</v>
      </c>
      <c r="M22">
        <v>-5.2999999999999998E-4</v>
      </c>
      <c r="N22">
        <v>-8.5699999999999995E-3</v>
      </c>
      <c r="O22">
        <v>1.6747000000000001E-2</v>
      </c>
      <c r="P22">
        <v>2.604E-3</v>
      </c>
      <c r="Q22">
        <v>1.9588999999999999E-2</v>
      </c>
      <c r="R22">
        <v>1.3287999999999999E-2</v>
      </c>
      <c r="S22">
        <v>2.61E-4</v>
      </c>
      <c r="T22">
        <v>-9.4900000000000002E-3</v>
      </c>
      <c r="U22">
        <v>1.7631999999999998E-2</v>
      </c>
      <c r="V22">
        <f t="shared" si="0"/>
        <v>3.833099999999999E-3</v>
      </c>
      <c r="W22">
        <f t="shared" si="1"/>
        <v>2.6651726308262397E-3</v>
      </c>
    </row>
    <row r="23" spans="1:23" x14ac:dyDescent="0.2">
      <c r="A23">
        <v>170</v>
      </c>
      <c r="B23">
        <v>5.2160000000000002E-3</v>
      </c>
      <c r="C23">
        <v>1.3055000000000001E-2</v>
      </c>
      <c r="D23">
        <v>2.562E-3</v>
      </c>
      <c r="E23">
        <v>2.653E-3</v>
      </c>
      <c r="F23">
        <v>4.0990000000000002E-3</v>
      </c>
      <c r="G23">
        <v>1.5206000000000001E-2</v>
      </c>
      <c r="H23">
        <v>-1.8E-3</v>
      </c>
      <c r="I23">
        <v>2.9650000000000002E-3</v>
      </c>
      <c r="J23">
        <v>-8.8500000000000002E-3</v>
      </c>
      <c r="K23">
        <v>4.5370000000000002E-3</v>
      </c>
      <c r="L23">
        <v>5.2160000000000002E-3</v>
      </c>
      <c r="M23">
        <v>1.3055000000000001E-2</v>
      </c>
      <c r="N23">
        <v>2.562E-3</v>
      </c>
      <c r="O23">
        <v>2.653E-3</v>
      </c>
      <c r="P23">
        <v>4.0990000000000002E-3</v>
      </c>
      <c r="Q23">
        <v>1.5206000000000001E-2</v>
      </c>
      <c r="R23">
        <v>-1.8E-3</v>
      </c>
      <c r="S23">
        <v>2.9650000000000002E-3</v>
      </c>
      <c r="T23">
        <v>-8.8500000000000002E-3</v>
      </c>
      <c r="U23">
        <v>4.5370000000000002E-3</v>
      </c>
      <c r="V23">
        <f t="shared" si="0"/>
        <v>3.9643000000000005E-3</v>
      </c>
      <c r="W23">
        <f t="shared" si="1"/>
        <v>1.4744267755015129E-3</v>
      </c>
    </row>
    <row r="24" spans="1:23" x14ac:dyDescent="0.2">
      <c r="A24">
        <v>60</v>
      </c>
      <c r="B24">
        <v>-2.1739999999999999E-2</v>
      </c>
      <c r="C24">
        <v>5.9410000000000001E-3</v>
      </c>
      <c r="D24">
        <v>-1.093E-2</v>
      </c>
      <c r="E24">
        <v>2.4523E-2</v>
      </c>
      <c r="F24">
        <v>-1.2E-4</v>
      </c>
      <c r="G24">
        <v>1.346E-2</v>
      </c>
      <c r="H24">
        <v>4.5100000000000001E-3</v>
      </c>
      <c r="I24">
        <v>5.64E-3</v>
      </c>
      <c r="J24">
        <v>-5.9899999999999997E-3</v>
      </c>
      <c r="K24">
        <v>2.7754000000000001E-2</v>
      </c>
      <c r="L24">
        <v>-2.1739999999999999E-2</v>
      </c>
      <c r="M24">
        <v>5.9410000000000001E-3</v>
      </c>
      <c r="N24">
        <v>-1.093E-2</v>
      </c>
      <c r="O24">
        <v>2.4523E-2</v>
      </c>
      <c r="P24">
        <v>-1.2E-4</v>
      </c>
      <c r="Q24">
        <v>1.346E-2</v>
      </c>
      <c r="R24">
        <v>4.5100000000000001E-3</v>
      </c>
      <c r="S24">
        <v>5.64E-3</v>
      </c>
      <c r="T24">
        <v>-5.9899999999999997E-3</v>
      </c>
      <c r="U24">
        <v>2.7754000000000001E-2</v>
      </c>
      <c r="V24">
        <f t="shared" si="0"/>
        <v>4.3048000000000001E-3</v>
      </c>
      <c r="W24">
        <f t="shared" si="1"/>
        <v>3.3110284581269176E-3</v>
      </c>
    </row>
    <row r="25" spans="1:23" x14ac:dyDescent="0.2">
      <c r="A25">
        <v>205</v>
      </c>
      <c r="B25">
        <v>3.016E-3</v>
      </c>
      <c r="C25">
        <v>-1.48E-3</v>
      </c>
      <c r="D25">
        <v>4.3559999999999996E-3</v>
      </c>
      <c r="E25">
        <v>8.8030000000000001E-3</v>
      </c>
      <c r="F25">
        <v>4.4299999999999998E-4</v>
      </c>
      <c r="G25">
        <v>1.0338999999999999E-2</v>
      </c>
      <c r="H25">
        <v>1.1960999999999999E-2</v>
      </c>
      <c r="I25">
        <v>2.1619999999999999E-3</v>
      </c>
      <c r="J25">
        <v>2.996E-3</v>
      </c>
      <c r="K25">
        <v>3.5000000000000001E-3</v>
      </c>
      <c r="L25">
        <v>3.016E-3</v>
      </c>
      <c r="M25">
        <v>-1.48E-3</v>
      </c>
      <c r="N25">
        <v>4.3559999999999996E-3</v>
      </c>
      <c r="O25">
        <v>8.8030000000000001E-3</v>
      </c>
      <c r="P25">
        <v>4.4299999999999998E-4</v>
      </c>
      <c r="Q25">
        <v>1.0338999999999999E-2</v>
      </c>
      <c r="R25">
        <v>1.1960999999999999E-2</v>
      </c>
      <c r="S25">
        <v>2.1619999999999999E-3</v>
      </c>
      <c r="T25">
        <v>2.996E-3</v>
      </c>
      <c r="U25">
        <v>3.5000000000000001E-3</v>
      </c>
      <c r="V25">
        <f t="shared" si="0"/>
        <v>4.6095999999999993E-3</v>
      </c>
      <c r="W25">
        <f t="shared" si="1"/>
        <v>9.4959002344779226E-4</v>
      </c>
    </row>
    <row r="26" spans="1:23" x14ac:dyDescent="0.2">
      <c r="A26">
        <v>15</v>
      </c>
      <c r="B26">
        <v>4.9420000000000002E-3</v>
      </c>
      <c r="C26">
        <v>2.9100000000000003E-4</v>
      </c>
      <c r="D26">
        <v>7.5469999999999999E-3</v>
      </c>
      <c r="E26">
        <v>1.3493E-2</v>
      </c>
      <c r="F26">
        <v>6.0899999999999995E-4</v>
      </c>
      <c r="G26">
        <v>8.4200000000000004E-3</v>
      </c>
      <c r="H26">
        <v>-2.96E-3</v>
      </c>
      <c r="I26">
        <v>1.2893E-2</v>
      </c>
      <c r="J26">
        <v>5.594E-3</v>
      </c>
      <c r="K26">
        <v>-3.65E-3</v>
      </c>
      <c r="L26">
        <v>4.9420000000000002E-3</v>
      </c>
      <c r="M26">
        <v>2.9100000000000003E-4</v>
      </c>
      <c r="N26">
        <v>7.5469999999999999E-3</v>
      </c>
      <c r="O26">
        <v>1.3493E-2</v>
      </c>
      <c r="P26">
        <v>6.0899999999999995E-4</v>
      </c>
      <c r="Q26">
        <v>8.4200000000000004E-3</v>
      </c>
      <c r="R26">
        <v>-2.96E-3</v>
      </c>
      <c r="S26">
        <v>1.2893E-2</v>
      </c>
      <c r="T26">
        <v>5.594E-3</v>
      </c>
      <c r="U26">
        <v>-3.65E-3</v>
      </c>
      <c r="V26">
        <f t="shared" si="0"/>
        <v>4.7178999999999997E-3</v>
      </c>
      <c r="W26">
        <f t="shared" si="1"/>
        <v>1.3215106286288232E-3</v>
      </c>
    </row>
    <row r="27" spans="1:23" x14ac:dyDescent="0.2">
      <c r="A27">
        <v>45</v>
      </c>
      <c r="B27">
        <v>-9.9399999999999992E-3</v>
      </c>
      <c r="C27">
        <v>4.9890000000000004E-3</v>
      </c>
      <c r="D27">
        <v>-6.5199999999999998E-3</v>
      </c>
      <c r="E27">
        <v>2.0840000000000001E-2</v>
      </c>
      <c r="F27">
        <v>1.2529999999999999E-2</v>
      </c>
      <c r="G27">
        <v>1.0120000000000001E-2</v>
      </c>
      <c r="H27">
        <v>7.0689999999999998E-3</v>
      </c>
      <c r="I27">
        <v>1.1799E-2</v>
      </c>
      <c r="J27">
        <v>-1.0919999999999999E-2</v>
      </c>
      <c r="K27">
        <v>9.5329999999999998E-3</v>
      </c>
      <c r="L27">
        <v>-9.9399999999999992E-3</v>
      </c>
      <c r="M27">
        <v>4.9890000000000004E-3</v>
      </c>
      <c r="N27">
        <v>-6.5199999999999998E-3</v>
      </c>
      <c r="O27">
        <v>2.0840000000000001E-2</v>
      </c>
      <c r="P27">
        <v>1.2529999999999999E-2</v>
      </c>
      <c r="Q27">
        <v>1.0120000000000001E-2</v>
      </c>
      <c r="R27">
        <v>7.0689999999999998E-3</v>
      </c>
      <c r="S27">
        <v>1.1799E-2</v>
      </c>
      <c r="T27">
        <v>-1.0919999999999999E-2</v>
      </c>
      <c r="U27">
        <v>9.5329999999999998E-3</v>
      </c>
      <c r="V27">
        <f t="shared" si="0"/>
        <v>4.9500000000000013E-3</v>
      </c>
      <c r="W27">
        <f t="shared" si="1"/>
        <v>2.310401733123712E-3</v>
      </c>
    </row>
    <row r="28" spans="1:23" x14ac:dyDescent="0.2">
      <c r="A28">
        <v>190</v>
      </c>
      <c r="B28">
        <v>-3.5699999999999998E-3</v>
      </c>
      <c r="C28">
        <v>1.4435999999999999E-2</v>
      </c>
      <c r="D28">
        <v>2.1540000000000001E-3</v>
      </c>
      <c r="E28">
        <v>-3.7000000000000002E-3</v>
      </c>
      <c r="F28">
        <v>6.3829999999999998E-3</v>
      </c>
      <c r="G28">
        <v>7.8100000000000001E-3</v>
      </c>
      <c r="H28">
        <v>4.6860000000000001E-3</v>
      </c>
      <c r="I28">
        <v>9.1699999999999993E-3</v>
      </c>
      <c r="J28">
        <v>9.0670000000000004E-3</v>
      </c>
      <c r="K28">
        <v>4.888E-3</v>
      </c>
      <c r="L28">
        <v>-3.5699999999999998E-3</v>
      </c>
      <c r="M28">
        <v>1.4435999999999999E-2</v>
      </c>
      <c r="N28">
        <v>2.1540000000000001E-3</v>
      </c>
      <c r="O28">
        <v>-3.7000000000000002E-3</v>
      </c>
      <c r="P28">
        <v>6.3829999999999998E-3</v>
      </c>
      <c r="Q28">
        <v>7.8100000000000001E-3</v>
      </c>
      <c r="R28">
        <v>4.6860000000000001E-3</v>
      </c>
      <c r="S28">
        <v>9.1699999999999993E-3</v>
      </c>
      <c r="T28">
        <v>9.0670000000000004E-3</v>
      </c>
      <c r="U28">
        <v>4.888E-3</v>
      </c>
      <c r="V28">
        <f t="shared" si="0"/>
        <v>5.1324000000000005E-3</v>
      </c>
      <c r="W28">
        <f t="shared" si="1"/>
        <v>1.2353280672291918E-3</v>
      </c>
    </row>
    <row r="29" spans="1:23" x14ac:dyDescent="0.2">
      <c r="A29">
        <v>160</v>
      </c>
      <c r="B29">
        <v>2.8289999999999999E-3</v>
      </c>
      <c r="C29">
        <v>1.619E-2</v>
      </c>
      <c r="D29">
        <v>1.3278999999999999E-2</v>
      </c>
      <c r="E29">
        <v>3.6489999999999999E-3</v>
      </c>
      <c r="F29">
        <v>5.705E-3</v>
      </c>
      <c r="G29">
        <v>1.738E-3</v>
      </c>
      <c r="H29">
        <v>-3.81E-3</v>
      </c>
      <c r="I29">
        <v>1.0348E-2</v>
      </c>
      <c r="J29">
        <v>5.9049999999999997E-3</v>
      </c>
      <c r="K29">
        <v>4.5269999999999998E-3</v>
      </c>
      <c r="L29">
        <v>2.8289999999999999E-3</v>
      </c>
      <c r="M29">
        <v>1.619E-2</v>
      </c>
      <c r="N29">
        <v>1.3278999999999999E-2</v>
      </c>
      <c r="O29">
        <v>3.6489999999999999E-3</v>
      </c>
      <c r="P29">
        <v>5.705E-3</v>
      </c>
      <c r="Q29">
        <v>1.738E-3</v>
      </c>
      <c r="R29">
        <v>-3.81E-3</v>
      </c>
      <c r="S29">
        <v>1.0348E-2</v>
      </c>
      <c r="T29">
        <v>5.9049999999999997E-3</v>
      </c>
      <c r="U29">
        <v>4.5269999999999998E-3</v>
      </c>
      <c r="V29">
        <f t="shared" si="0"/>
        <v>6.0359999999999997E-3</v>
      </c>
      <c r="W29">
        <f t="shared" si="1"/>
        <v>1.273125143722701E-3</v>
      </c>
    </row>
    <row r="30" spans="1:23" x14ac:dyDescent="0.2">
      <c r="A30">
        <v>65</v>
      </c>
      <c r="B30">
        <v>-7.7400000000000004E-3</v>
      </c>
      <c r="C30">
        <v>3.8219999999999999E-3</v>
      </c>
      <c r="D30">
        <v>1.7222999999999999E-2</v>
      </c>
      <c r="E30">
        <v>2.4374E-2</v>
      </c>
      <c r="F30">
        <v>7.4390000000000003E-3</v>
      </c>
      <c r="G30">
        <v>4.5240000000000002E-3</v>
      </c>
      <c r="H30">
        <v>1.165E-3</v>
      </c>
      <c r="I30">
        <v>-8.8299999999999993E-3</v>
      </c>
      <c r="J30">
        <v>-2.7499999999999998E-3</v>
      </c>
      <c r="K30">
        <v>3.0849000000000001E-2</v>
      </c>
      <c r="L30">
        <v>-7.7400000000000004E-3</v>
      </c>
      <c r="M30">
        <v>3.8219999999999999E-3</v>
      </c>
      <c r="N30">
        <v>1.7222999999999999E-2</v>
      </c>
      <c r="O30">
        <v>2.4374E-2</v>
      </c>
      <c r="P30">
        <v>7.4390000000000003E-3</v>
      </c>
      <c r="Q30">
        <v>4.5240000000000002E-3</v>
      </c>
      <c r="R30">
        <v>1.165E-3</v>
      </c>
      <c r="S30">
        <v>-8.8299999999999993E-3</v>
      </c>
      <c r="T30">
        <v>-2.7499999999999998E-3</v>
      </c>
      <c r="U30">
        <v>3.0849000000000001E-2</v>
      </c>
      <c r="V30">
        <f t="shared" si="0"/>
        <v>7.0076000000000001E-3</v>
      </c>
      <c r="W30">
        <f t="shared" si="1"/>
        <v>2.8914838973131173E-3</v>
      </c>
    </row>
    <row r="31" spans="1:23" x14ac:dyDescent="0.2">
      <c r="A31">
        <v>180</v>
      </c>
      <c r="B31">
        <v>-5.4299999999999999E-3</v>
      </c>
      <c r="C31">
        <v>1.1665999999999999E-2</v>
      </c>
      <c r="D31">
        <v>1.0258E-2</v>
      </c>
      <c r="E31">
        <v>1.5533E-2</v>
      </c>
      <c r="F31">
        <v>5.9369999999999996E-3</v>
      </c>
      <c r="G31">
        <v>1.6726999999999999E-2</v>
      </c>
      <c r="H31">
        <v>1.1632E-2</v>
      </c>
      <c r="I31">
        <v>7.4799999999999997E-4</v>
      </c>
      <c r="J31">
        <v>2.2599999999999999E-3</v>
      </c>
      <c r="K31">
        <v>3.3010000000000001E-3</v>
      </c>
      <c r="L31">
        <v>-5.4299999999999999E-3</v>
      </c>
      <c r="M31">
        <v>1.1665999999999999E-2</v>
      </c>
      <c r="N31">
        <v>1.0258E-2</v>
      </c>
      <c r="O31">
        <v>1.5533E-2</v>
      </c>
      <c r="P31">
        <v>5.9369999999999996E-3</v>
      </c>
      <c r="Q31">
        <v>1.6726999999999999E-2</v>
      </c>
      <c r="R31">
        <v>1.1632E-2</v>
      </c>
      <c r="S31">
        <v>7.4799999999999997E-4</v>
      </c>
      <c r="T31">
        <v>2.2599999999999999E-3</v>
      </c>
      <c r="U31">
        <v>3.3010000000000001E-3</v>
      </c>
      <c r="V31">
        <f t="shared" si="0"/>
        <v>7.2632E-3</v>
      </c>
      <c r="W31">
        <f t="shared" si="1"/>
        <v>1.541441556329317E-3</v>
      </c>
    </row>
    <row r="32" spans="1:23" x14ac:dyDescent="0.2">
      <c r="A32">
        <v>50</v>
      </c>
      <c r="B32">
        <v>-2.66E-3</v>
      </c>
      <c r="C32">
        <v>-9.1E-4</v>
      </c>
      <c r="D32">
        <v>-8.3599999999999994E-3</v>
      </c>
      <c r="E32">
        <v>1.8671E-2</v>
      </c>
      <c r="F32">
        <v>2.6917E-2</v>
      </c>
      <c r="G32">
        <v>1.5311999999999999E-2</v>
      </c>
      <c r="H32">
        <v>1.3004999999999999E-2</v>
      </c>
      <c r="I32">
        <v>3.1819999999999999E-3</v>
      </c>
      <c r="J32">
        <v>-1.206E-2</v>
      </c>
      <c r="K32">
        <v>2.0947E-2</v>
      </c>
      <c r="L32">
        <v>-2.66E-3</v>
      </c>
      <c r="M32">
        <v>-9.1E-4</v>
      </c>
      <c r="N32">
        <v>-8.3599999999999994E-3</v>
      </c>
      <c r="O32">
        <v>1.8671E-2</v>
      </c>
      <c r="P32">
        <v>2.6917E-2</v>
      </c>
      <c r="Q32">
        <v>1.5311999999999999E-2</v>
      </c>
      <c r="R32">
        <v>1.3004999999999999E-2</v>
      </c>
      <c r="S32">
        <v>3.1819999999999999E-3</v>
      </c>
      <c r="T32">
        <v>-1.206E-2</v>
      </c>
      <c r="U32">
        <v>2.0947E-2</v>
      </c>
      <c r="V32">
        <f t="shared" si="0"/>
        <v>7.4044000000000002E-3</v>
      </c>
      <c r="W32">
        <f t="shared" si="1"/>
        <v>2.9024544408229099E-3</v>
      </c>
    </row>
    <row r="33" spans="1:23" x14ac:dyDescent="0.2">
      <c r="A33">
        <v>185</v>
      </c>
      <c r="B33">
        <v>1.0191E-2</v>
      </c>
      <c r="C33">
        <v>1.6718E-2</v>
      </c>
      <c r="D33">
        <v>1.0109999999999999E-2</v>
      </c>
      <c r="E33">
        <v>1.8779999999999999E-3</v>
      </c>
      <c r="F33">
        <v>3.614E-3</v>
      </c>
      <c r="G33">
        <v>7.8059999999999996E-3</v>
      </c>
      <c r="H33">
        <v>3.2079999999999999E-3</v>
      </c>
      <c r="I33">
        <v>6.2389999999999998E-3</v>
      </c>
      <c r="J33">
        <v>1.0558E-2</v>
      </c>
      <c r="K33">
        <v>4.3579999999999999E-3</v>
      </c>
      <c r="L33">
        <v>1.0191E-2</v>
      </c>
      <c r="M33">
        <v>1.6718E-2</v>
      </c>
      <c r="N33">
        <v>1.0109999999999999E-2</v>
      </c>
      <c r="O33">
        <v>1.8779999999999999E-3</v>
      </c>
      <c r="P33">
        <v>3.614E-3</v>
      </c>
      <c r="Q33">
        <v>7.8059999999999996E-3</v>
      </c>
      <c r="R33">
        <v>3.2079999999999999E-3</v>
      </c>
      <c r="S33">
        <v>6.2389999999999998E-3</v>
      </c>
      <c r="T33">
        <v>1.0558E-2</v>
      </c>
      <c r="U33">
        <v>4.3579999999999999E-3</v>
      </c>
      <c r="V33">
        <f t="shared" si="0"/>
        <v>7.4680000000000007E-3</v>
      </c>
      <c r="W33">
        <f t="shared" si="1"/>
        <v>9.8689116874525079E-4</v>
      </c>
    </row>
    <row r="34" spans="1:23" x14ac:dyDescent="0.2">
      <c r="A34">
        <v>175</v>
      </c>
      <c r="B34">
        <v>-1.39E-3</v>
      </c>
      <c r="C34">
        <v>1.3957000000000001E-2</v>
      </c>
      <c r="D34">
        <v>1.1261E-2</v>
      </c>
      <c r="E34">
        <v>8.9569999999999997E-3</v>
      </c>
      <c r="F34">
        <v>3.8210000000000002E-3</v>
      </c>
      <c r="G34">
        <v>2.2218999999999999E-2</v>
      </c>
      <c r="H34">
        <v>7.5669999999999999E-3</v>
      </c>
      <c r="I34">
        <v>7.6990000000000001E-3</v>
      </c>
      <c r="J34">
        <v>-3.9199999999999999E-3</v>
      </c>
      <c r="K34">
        <v>7.5119999999999996E-3</v>
      </c>
      <c r="L34">
        <v>-1.39E-3</v>
      </c>
      <c r="M34">
        <v>1.3957000000000001E-2</v>
      </c>
      <c r="N34">
        <v>1.1261E-2</v>
      </c>
      <c r="O34">
        <v>8.9569999999999997E-3</v>
      </c>
      <c r="P34">
        <v>3.8210000000000002E-3</v>
      </c>
      <c r="Q34">
        <v>2.2218999999999999E-2</v>
      </c>
      <c r="R34">
        <v>7.5669999999999999E-3</v>
      </c>
      <c r="S34">
        <v>7.6990000000000001E-3</v>
      </c>
      <c r="T34">
        <v>-3.9199999999999999E-3</v>
      </c>
      <c r="U34">
        <v>7.5119999999999996E-3</v>
      </c>
      <c r="V34">
        <f t="shared" ref="V34:V65" si="2">AVERAGE(B34:U34)</f>
        <v>7.7683000000000006E-3</v>
      </c>
      <c r="W34">
        <f t="shared" si="1"/>
        <v>1.6172063405436969E-3</v>
      </c>
    </row>
    <row r="35" spans="1:23" x14ac:dyDescent="0.2">
      <c r="A35">
        <v>155</v>
      </c>
      <c r="B35">
        <v>9.4509999999999993E-3</v>
      </c>
      <c r="C35">
        <v>7.7130000000000002E-3</v>
      </c>
      <c r="D35">
        <v>1.2494E-2</v>
      </c>
      <c r="E35">
        <v>8.7790000000000003E-3</v>
      </c>
      <c r="F35">
        <v>1.0626999999999999E-2</v>
      </c>
      <c r="G35">
        <v>2.2627999999999999E-2</v>
      </c>
      <c r="H35">
        <v>-2.5400000000000002E-3</v>
      </c>
      <c r="I35">
        <v>1.3110000000000001E-3</v>
      </c>
      <c r="J35">
        <v>1.7035000000000002E-2</v>
      </c>
      <c r="K35">
        <v>7.4799999999999997E-3</v>
      </c>
      <c r="L35">
        <v>9.4509999999999993E-3</v>
      </c>
      <c r="M35">
        <v>7.7130000000000002E-3</v>
      </c>
      <c r="N35">
        <v>1.2494E-2</v>
      </c>
      <c r="O35">
        <v>8.7790000000000003E-3</v>
      </c>
      <c r="P35">
        <v>1.0626999999999999E-2</v>
      </c>
      <c r="Q35">
        <v>2.2627999999999999E-2</v>
      </c>
      <c r="R35">
        <v>-2.5400000000000002E-3</v>
      </c>
      <c r="S35">
        <v>1.3110000000000001E-3</v>
      </c>
      <c r="T35">
        <v>1.7035000000000002E-2</v>
      </c>
      <c r="U35">
        <v>7.4799999999999997E-3</v>
      </c>
      <c r="V35">
        <f t="shared" si="2"/>
        <v>9.4978000000000007E-3</v>
      </c>
      <c r="W35">
        <f t="shared" si="1"/>
        <v>1.5545723013099127E-3</v>
      </c>
    </row>
    <row r="36" spans="1:23" x14ac:dyDescent="0.2">
      <c r="A36">
        <v>140</v>
      </c>
      <c r="B36">
        <v>8.77E-3</v>
      </c>
      <c r="C36">
        <v>1.0449999999999999E-2</v>
      </c>
      <c r="D36">
        <v>4.9800000000000001E-3</v>
      </c>
      <c r="E36">
        <v>4.3909999999999999E-3</v>
      </c>
      <c r="F36">
        <v>3.1641000000000002E-2</v>
      </c>
      <c r="G36">
        <v>2.2641000000000001E-2</v>
      </c>
      <c r="H36">
        <v>-6.4999999999999997E-4</v>
      </c>
      <c r="I36">
        <v>1.0036E-2</v>
      </c>
      <c r="J36">
        <v>3.4359999999999998E-3</v>
      </c>
      <c r="K36">
        <v>3.6870000000000002E-3</v>
      </c>
      <c r="L36">
        <v>8.77E-3</v>
      </c>
      <c r="M36">
        <v>1.0449999999999999E-2</v>
      </c>
      <c r="N36">
        <v>4.9800000000000001E-3</v>
      </c>
      <c r="O36">
        <v>4.3909999999999999E-3</v>
      </c>
      <c r="P36">
        <v>3.1641000000000002E-2</v>
      </c>
      <c r="Q36">
        <v>2.2641000000000001E-2</v>
      </c>
      <c r="R36">
        <v>-6.4999999999999997E-4</v>
      </c>
      <c r="S36">
        <v>1.0036E-2</v>
      </c>
      <c r="T36">
        <v>3.4359999999999998E-3</v>
      </c>
      <c r="U36">
        <v>3.6870000000000002E-3</v>
      </c>
      <c r="V36">
        <f t="shared" si="2"/>
        <v>9.9381999999999977E-3</v>
      </c>
      <c r="W36">
        <f t="shared" si="1"/>
        <v>2.1555682015605422E-3</v>
      </c>
    </row>
    <row r="37" spans="1:23" x14ac:dyDescent="0.2">
      <c r="A37">
        <v>75</v>
      </c>
      <c r="B37">
        <v>1.1257E-2</v>
      </c>
      <c r="C37">
        <v>8.7290000000000006E-3</v>
      </c>
      <c r="D37">
        <v>8.4320000000000003E-3</v>
      </c>
      <c r="E37">
        <v>2.6041999999999999E-2</v>
      </c>
      <c r="F37">
        <v>3.718E-3</v>
      </c>
      <c r="G37">
        <v>2.2870999999999999E-2</v>
      </c>
      <c r="H37">
        <v>-1.17E-3</v>
      </c>
      <c r="I37">
        <v>2.9139999999999999E-3</v>
      </c>
      <c r="J37">
        <v>-1.2E-4</v>
      </c>
      <c r="K37">
        <v>2.9321E-2</v>
      </c>
      <c r="L37">
        <v>1.1257E-2</v>
      </c>
      <c r="M37">
        <v>8.7290000000000006E-3</v>
      </c>
      <c r="N37">
        <v>8.4320000000000003E-3</v>
      </c>
      <c r="O37">
        <v>2.6041999999999999E-2</v>
      </c>
      <c r="P37">
        <v>3.718E-3</v>
      </c>
      <c r="Q37">
        <v>2.2870999999999999E-2</v>
      </c>
      <c r="R37">
        <v>-1.17E-3</v>
      </c>
      <c r="S37">
        <v>2.9139999999999999E-3</v>
      </c>
      <c r="T37">
        <v>-1.2E-4</v>
      </c>
      <c r="U37">
        <v>2.9321E-2</v>
      </c>
      <c r="V37">
        <f t="shared" si="2"/>
        <v>1.1199399999999998E-2</v>
      </c>
      <c r="W37">
        <f t="shared" si="1"/>
        <v>2.410979465083151E-3</v>
      </c>
    </row>
    <row r="38" spans="1:23" x14ac:dyDescent="0.2">
      <c r="A38">
        <v>135</v>
      </c>
      <c r="B38">
        <v>1.5775999999999998E-2</v>
      </c>
      <c r="C38">
        <v>9.4280000000000006E-3</v>
      </c>
      <c r="D38">
        <v>2.2439999999999999E-3</v>
      </c>
      <c r="E38">
        <v>5.9930000000000001E-3</v>
      </c>
      <c r="F38">
        <v>3.0200000000000001E-2</v>
      </c>
      <c r="G38">
        <v>2.8541E-2</v>
      </c>
      <c r="H38">
        <v>4.8970000000000003E-3</v>
      </c>
      <c r="I38">
        <v>1.2654E-2</v>
      </c>
      <c r="J38">
        <v>-2.4199999999999998E-3</v>
      </c>
      <c r="K38">
        <v>5.4260000000000003E-3</v>
      </c>
      <c r="L38">
        <v>1.5775999999999998E-2</v>
      </c>
      <c r="M38">
        <v>9.4280000000000006E-3</v>
      </c>
      <c r="N38">
        <v>2.2439999999999999E-3</v>
      </c>
      <c r="O38">
        <v>5.9930000000000001E-3</v>
      </c>
      <c r="P38">
        <v>3.0200000000000001E-2</v>
      </c>
      <c r="Q38">
        <v>2.8541E-2</v>
      </c>
      <c r="R38">
        <v>4.8970000000000003E-3</v>
      </c>
      <c r="S38">
        <v>1.2654E-2</v>
      </c>
      <c r="T38">
        <v>-2.4199999999999998E-3</v>
      </c>
      <c r="U38">
        <v>5.4260000000000003E-3</v>
      </c>
      <c r="V38">
        <f t="shared" si="2"/>
        <v>1.12739E-2</v>
      </c>
      <c r="W38">
        <f t="shared" si="1"/>
        <v>2.3549987315897801E-3</v>
      </c>
    </row>
    <row r="39" spans="1:23" x14ac:dyDescent="0.2">
      <c r="A39">
        <v>150</v>
      </c>
      <c r="B39">
        <v>-1E-4</v>
      </c>
      <c r="C39">
        <v>1.5509E-2</v>
      </c>
      <c r="D39">
        <v>1.0330000000000001E-3</v>
      </c>
      <c r="E39">
        <v>1.3566999999999999E-2</v>
      </c>
      <c r="F39">
        <v>1.4578000000000001E-2</v>
      </c>
      <c r="G39">
        <v>2.3493E-2</v>
      </c>
      <c r="H39">
        <v>5.8060000000000004E-3</v>
      </c>
      <c r="I39">
        <v>1.1805E-2</v>
      </c>
      <c r="J39">
        <v>9.6799999999999994E-3</v>
      </c>
      <c r="K39">
        <v>1.7927999999999999E-2</v>
      </c>
      <c r="L39">
        <v>-1E-4</v>
      </c>
      <c r="M39">
        <v>1.5509E-2</v>
      </c>
      <c r="N39">
        <v>1.0330000000000001E-3</v>
      </c>
      <c r="O39">
        <v>1.3566999999999999E-2</v>
      </c>
      <c r="P39">
        <v>1.4578000000000001E-2</v>
      </c>
      <c r="Q39">
        <v>2.3493E-2</v>
      </c>
      <c r="R39">
        <v>5.8060000000000004E-3</v>
      </c>
      <c r="S39">
        <v>1.1805E-2</v>
      </c>
      <c r="T39">
        <v>9.6799999999999994E-3</v>
      </c>
      <c r="U39">
        <v>1.7927999999999999E-2</v>
      </c>
      <c r="V39">
        <f t="shared" si="2"/>
        <v>1.13299E-2</v>
      </c>
      <c r="W39">
        <f t="shared" si="1"/>
        <v>1.6134723863701374E-3</v>
      </c>
    </row>
    <row r="40" spans="1:23" x14ac:dyDescent="0.2">
      <c r="A40">
        <v>85</v>
      </c>
      <c r="B40">
        <v>1.3608E-2</v>
      </c>
      <c r="C40">
        <v>1.2569E-2</v>
      </c>
      <c r="D40">
        <v>1.436E-3</v>
      </c>
      <c r="E40">
        <v>1.9354E-2</v>
      </c>
      <c r="F40">
        <v>1.5134E-2</v>
      </c>
      <c r="G40">
        <v>1.1396999999999999E-2</v>
      </c>
      <c r="H40">
        <v>-4.0000000000000002E-4</v>
      </c>
      <c r="I40">
        <v>-1.2800000000000001E-3</v>
      </c>
      <c r="J40">
        <v>1.2049000000000001E-2</v>
      </c>
      <c r="K40">
        <v>3.1378000000000003E-2</v>
      </c>
      <c r="L40">
        <v>1.3608E-2</v>
      </c>
      <c r="M40">
        <v>1.2569E-2</v>
      </c>
      <c r="N40">
        <v>1.436E-3</v>
      </c>
      <c r="O40">
        <v>1.9354E-2</v>
      </c>
      <c r="P40">
        <v>1.5134E-2</v>
      </c>
      <c r="Q40">
        <v>1.1396999999999999E-2</v>
      </c>
      <c r="R40">
        <v>-4.0000000000000002E-4</v>
      </c>
      <c r="S40">
        <v>-1.2800000000000001E-3</v>
      </c>
      <c r="T40">
        <v>1.2049000000000001E-2</v>
      </c>
      <c r="U40">
        <v>3.1378000000000003E-2</v>
      </c>
      <c r="V40">
        <f t="shared" si="2"/>
        <v>1.1524499999999998E-2</v>
      </c>
      <c r="W40">
        <f t="shared" si="1"/>
        <v>2.1547268534916199E-3</v>
      </c>
    </row>
    <row r="41" spans="1:23" x14ac:dyDescent="0.2">
      <c r="A41">
        <v>70</v>
      </c>
      <c r="B41">
        <v>1.1809E-2</v>
      </c>
      <c r="C41">
        <v>1.3565000000000001E-2</v>
      </c>
      <c r="D41">
        <v>8.1609999999999999E-3</v>
      </c>
      <c r="E41">
        <v>1.7537000000000001E-2</v>
      </c>
      <c r="F41">
        <v>1.3365999999999999E-2</v>
      </c>
      <c r="G41">
        <v>1.3861E-2</v>
      </c>
      <c r="H41">
        <v>6.6950000000000004E-3</v>
      </c>
      <c r="I41">
        <v>-2.7799999999999999E-3</v>
      </c>
      <c r="J41">
        <v>2.8319999999999999E-3</v>
      </c>
      <c r="K41">
        <v>3.4369999999999998E-2</v>
      </c>
      <c r="L41">
        <v>1.1809E-2</v>
      </c>
      <c r="M41">
        <v>1.3565000000000001E-2</v>
      </c>
      <c r="N41">
        <v>8.1609999999999999E-3</v>
      </c>
      <c r="O41">
        <v>1.7537000000000001E-2</v>
      </c>
      <c r="P41">
        <v>1.3365999999999999E-2</v>
      </c>
      <c r="Q41">
        <v>1.3861E-2</v>
      </c>
      <c r="R41">
        <v>6.6950000000000004E-3</v>
      </c>
      <c r="S41">
        <v>-2.7799999999999999E-3</v>
      </c>
      <c r="T41">
        <v>2.8319999999999999E-3</v>
      </c>
      <c r="U41">
        <v>3.4369999999999998E-2</v>
      </c>
      <c r="V41">
        <f t="shared" si="2"/>
        <v>1.19416E-2</v>
      </c>
      <c r="W41">
        <f t="shared" si="1"/>
        <v>2.1572859610850706E-3</v>
      </c>
    </row>
    <row r="42" spans="1:23" x14ac:dyDescent="0.2">
      <c r="A42">
        <v>90</v>
      </c>
      <c r="B42">
        <v>9.0860000000000003E-3</v>
      </c>
      <c r="C42">
        <v>2.4368000000000001E-2</v>
      </c>
      <c r="D42">
        <v>-2.7899999999999999E-3</v>
      </c>
      <c r="E42">
        <v>1.5949999999999999E-2</v>
      </c>
      <c r="F42">
        <v>1.9894999999999999E-2</v>
      </c>
      <c r="G42">
        <v>1.3185000000000001E-2</v>
      </c>
      <c r="H42">
        <v>-5.8199999999999997E-3</v>
      </c>
      <c r="I42">
        <v>8.6689999999999996E-3</v>
      </c>
      <c r="J42">
        <v>5.8869999999999999E-3</v>
      </c>
      <c r="K42">
        <v>3.3227E-2</v>
      </c>
      <c r="L42">
        <v>9.0860000000000003E-3</v>
      </c>
      <c r="M42">
        <v>2.4368000000000001E-2</v>
      </c>
      <c r="N42">
        <v>-2.7899999999999999E-3</v>
      </c>
      <c r="O42">
        <v>1.5949999999999999E-2</v>
      </c>
      <c r="P42">
        <v>1.9894999999999999E-2</v>
      </c>
      <c r="Q42">
        <v>1.3185000000000001E-2</v>
      </c>
      <c r="R42">
        <v>-5.8199999999999997E-3</v>
      </c>
      <c r="S42">
        <v>8.6689999999999996E-3</v>
      </c>
      <c r="T42">
        <v>5.8869999999999999E-3</v>
      </c>
      <c r="U42">
        <v>3.3227E-2</v>
      </c>
      <c r="V42">
        <f t="shared" si="2"/>
        <v>1.2165700000000002E-2</v>
      </c>
      <c r="W42">
        <f t="shared" si="1"/>
        <v>2.5913503532247217E-3</v>
      </c>
    </row>
    <row r="43" spans="1:23" x14ac:dyDescent="0.2">
      <c r="A43">
        <v>80</v>
      </c>
      <c r="B43">
        <v>1.7517999999999999E-2</v>
      </c>
      <c r="C43">
        <v>1.5509E-2</v>
      </c>
      <c r="D43">
        <v>1.3669999999999999E-3</v>
      </c>
      <c r="E43">
        <v>1.7448000000000002E-2</v>
      </c>
      <c r="F43">
        <v>1.338E-2</v>
      </c>
      <c r="G43">
        <v>2.0836E-2</v>
      </c>
      <c r="H43">
        <v>1.5809999999999999E-3</v>
      </c>
      <c r="I43">
        <v>-3.0599999999999998E-3</v>
      </c>
      <c r="J43">
        <v>7.0439999999999999E-3</v>
      </c>
      <c r="K43">
        <v>3.2877999999999998E-2</v>
      </c>
      <c r="L43">
        <v>1.7517999999999999E-2</v>
      </c>
      <c r="M43">
        <v>1.5509E-2</v>
      </c>
      <c r="N43">
        <v>1.3669999999999999E-3</v>
      </c>
      <c r="O43">
        <v>1.7448000000000002E-2</v>
      </c>
      <c r="P43">
        <v>1.338E-2</v>
      </c>
      <c r="Q43">
        <v>2.0836E-2</v>
      </c>
      <c r="R43">
        <v>1.5809999999999999E-3</v>
      </c>
      <c r="S43">
        <v>-3.0599999999999998E-3</v>
      </c>
      <c r="T43">
        <v>7.0439999999999999E-3</v>
      </c>
      <c r="U43">
        <v>3.2877999999999998E-2</v>
      </c>
      <c r="V43">
        <f t="shared" si="2"/>
        <v>1.2450099999999999E-2</v>
      </c>
      <c r="W43">
        <f t="shared" si="1"/>
        <v>2.3611640471107517E-3</v>
      </c>
    </row>
    <row r="44" spans="1:23" x14ac:dyDescent="0.2">
      <c r="A44">
        <v>145</v>
      </c>
      <c r="B44">
        <v>1.4182E-2</v>
      </c>
      <c r="C44">
        <v>1.4976E-2</v>
      </c>
      <c r="D44">
        <v>1.172E-2</v>
      </c>
      <c r="E44">
        <v>6.6210000000000001E-3</v>
      </c>
      <c r="F44">
        <v>1.9765000000000001E-2</v>
      </c>
      <c r="G44">
        <v>1.8780000000000002E-2</v>
      </c>
      <c r="H44">
        <v>5.8529999999999997E-3</v>
      </c>
      <c r="I44">
        <v>1.4564000000000001E-2</v>
      </c>
      <c r="J44">
        <v>8.0070000000000002E-3</v>
      </c>
      <c r="K44">
        <v>1.3861999999999999E-2</v>
      </c>
      <c r="L44">
        <v>1.4182E-2</v>
      </c>
      <c r="M44">
        <v>1.4976E-2</v>
      </c>
      <c r="N44">
        <v>1.172E-2</v>
      </c>
      <c r="O44">
        <v>6.6210000000000001E-3</v>
      </c>
      <c r="P44">
        <v>1.9765000000000001E-2</v>
      </c>
      <c r="Q44">
        <v>1.8780000000000002E-2</v>
      </c>
      <c r="R44">
        <v>5.8529999999999997E-3</v>
      </c>
      <c r="S44">
        <v>1.4564000000000001E-2</v>
      </c>
      <c r="T44">
        <v>8.0070000000000002E-3</v>
      </c>
      <c r="U44">
        <v>1.3861999999999999E-2</v>
      </c>
      <c r="V44">
        <f t="shared" si="2"/>
        <v>1.2832999999999997E-2</v>
      </c>
      <c r="W44">
        <f t="shared" si="1"/>
        <v>1.0405597532097829E-3</v>
      </c>
    </row>
    <row r="45" spans="1:23" x14ac:dyDescent="0.2">
      <c r="A45">
        <v>130</v>
      </c>
      <c r="B45">
        <v>2.0027E-2</v>
      </c>
      <c r="C45">
        <v>9.8049999999999995E-3</v>
      </c>
      <c r="D45">
        <v>1.5200000000000001E-4</v>
      </c>
      <c r="E45">
        <v>1.1473000000000001E-2</v>
      </c>
      <c r="F45">
        <v>4.0579999999999998E-2</v>
      </c>
      <c r="G45">
        <v>3.3760999999999999E-2</v>
      </c>
      <c r="H45">
        <v>-4.6299999999999996E-3</v>
      </c>
      <c r="I45">
        <v>6.0569999999999999E-3</v>
      </c>
      <c r="J45">
        <v>2.7699999999999999E-3</v>
      </c>
      <c r="K45">
        <v>1.2021E-2</v>
      </c>
      <c r="L45">
        <v>2.0027E-2</v>
      </c>
      <c r="M45">
        <v>9.8049999999999995E-3</v>
      </c>
      <c r="N45">
        <v>1.5200000000000001E-4</v>
      </c>
      <c r="O45">
        <v>1.1473000000000001E-2</v>
      </c>
      <c r="P45">
        <v>4.0579999999999998E-2</v>
      </c>
      <c r="Q45">
        <v>3.3760999999999999E-2</v>
      </c>
      <c r="R45">
        <v>-4.6299999999999996E-3</v>
      </c>
      <c r="S45">
        <v>6.0569999999999999E-3</v>
      </c>
      <c r="T45">
        <v>2.7699999999999999E-3</v>
      </c>
      <c r="U45">
        <v>1.2021E-2</v>
      </c>
      <c r="V45">
        <f t="shared" si="2"/>
        <v>1.3201600000000003E-2</v>
      </c>
      <c r="W45">
        <f t="shared" si="1"/>
        <v>3.1480087042613557E-3</v>
      </c>
    </row>
    <row r="46" spans="1:23" x14ac:dyDescent="0.2">
      <c r="A46">
        <v>115</v>
      </c>
      <c r="B46">
        <v>1.0028E-2</v>
      </c>
      <c r="C46">
        <v>2.9239000000000001E-2</v>
      </c>
      <c r="D46">
        <v>2.0115000000000001E-2</v>
      </c>
      <c r="E46">
        <v>1.2743000000000001E-2</v>
      </c>
      <c r="F46">
        <v>2.8958999999999999E-2</v>
      </c>
      <c r="G46">
        <v>1.2878000000000001E-2</v>
      </c>
      <c r="H46">
        <v>6.5960000000000003E-3</v>
      </c>
      <c r="I46">
        <v>-5.6100000000000004E-3</v>
      </c>
      <c r="J46">
        <v>8.005E-3</v>
      </c>
      <c r="K46">
        <v>1.8762999999999998E-2</v>
      </c>
      <c r="L46">
        <v>1.0028E-2</v>
      </c>
      <c r="M46">
        <v>2.9239000000000001E-2</v>
      </c>
      <c r="N46">
        <v>2.0115000000000001E-2</v>
      </c>
      <c r="O46">
        <v>1.2743000000000001E-2</v>
      </c>
      <c r="P46">
        <v>2.8958999999999999E-2</v>
      </c>
      <c r="Q46">
        <v>1.2878000000000001E-2</v>
      </c>
      <c r="R46">
        <v>6.5960000000000003E-3</v>
      </c>
      <c r="S46">
        <v>-5.6100000000000004E-3</v>
      </c>
      <c r="T46">
        <v>8.005E-3</v>
      </c>
      <c r="U46">
        <v>1.8762999999999998E-2</v>
      </c>
      <c r="V46">
        <f t="shared" si="2"/>
        <v>1.4171599999999998E-2</v>
      </c>
      <c r="W46">
        <f t="shared" si="1"/>
        <v>2.3052694652401099E-3</v>
      </c>
    </row>
    <row r="47" spans="1:23" x14ac:dyDescent="0.2">
      <c r="A47">
        <v>110</v>
      </c>
      <c r="B47">
        <v>3.9110000000000004E-3</v>
      </c>
      <c r="C47">
        <v>2.3585999999999999E-2</v>
      </c>
      <c r="D47">
        <v>6.045E-3</v>
      </c>
      <c r="E47">
        <v>1.3389E-2</v>
      </c>
      <c r="F47">
        <v>3.5368999999999998E-2</v>
      </c>
      <c r="G47">
        <v>2.3230000000000001E-2</v>
      </c>
      <c r="H47">
        <v>2.6582000000000001E-2</v>
      </c>
      <c r="I47">
        <v>-1.99E-3</v>
      </c>
      <c r="J47">
        <v>6.3400000000000001E-3</v>
      </c>
      <c r="K47">
        <v>1.413E-2</v>
      </c>
      <c r="L47">
        <v>3.9110000000000004E-3</v>
      </c>
      <c r="M47">
        <v>2.3585999999999999E-2</v>
      </c>
      <c r="N47">
        <v>6.045E-3</v>
      </c>
      <c r="O47">
        <v>1.3389E-2</v>
      </c>
      <c r="P47">
        <v>3.5368999999999998E-2</v>
      </c>
      <c r="Q47">
        <v>2.3230000000000001E-2</v>
      </c>
      <c r="R47">
        <v>2.6582000000000001E-2</v>
      </c>
      <c r="S47">
        <v>-1.99E-3</v>
      </c>
      <c r="T47">
        <v>6.3400000000000001E-3</v>
      </c>
      <c r="U47">
        <v>1.413E-2</v>
      </c>
      <c r="V47">
        <f t="shared" si="2"/>
        <v>1.5059200000000003E-2</v>
      </c>
      <c r="W47">
        <f t="shared" si="1"/>
        <v>2.5758207701623952E-3</v>
      </c>
    </row>
    <row r="48" spans="1:23" x14ac:dyDescent="0.2">
      <c r="A48">
        <v>125</v>
      </c>
      <c r="B48">
        <v>1.2444999999999999E-2</v>
      </c>
      <c r="C48">
        <v>1.5134E-2</v>
      </c>
      <c r="D48">
        <v>1.1422E-2</v>
      </c>
      <c r="E48">
        <v>1.9531E-2</v>
      </c>
      <c r="F48">
        <v>4.1389000000000002E-2</v>
      </c>
      <c r="G48">
        <v>1.7565999999999998E-2</v>
      </c>
      <c r="H48">
        <v>1.6792000000000001E-2</v>
      </c>
      <c r="I48">
        <v>5.9109999999999996E-3</v>
      </c>
      <c r="J48">
        <v>6.574E-3</v>
      </c>
      <c r="K48">
        <v>5.0530000000000002E-3</v>
      </c>
      <c r="L48">
        <v>1.2444999999999999E-2</v>
      </c>
      <c r="M48">
        <v>1.5134E-2</v>
      </c>
      <c r="N48">
        <v>1.1422E-2</v>
      </c>
      <c r="O48">
        <v>1.9531E-2</v>
      </c>
      <c r="P48">
        <v>4.1389000000000002E-2</v>
      </c>
      <c r="Q48">
        <v>1.7565999999999998E-2</v>
      </c>
      <c r="R48">
        <v>1.6792000000000001E-2</v>
      </c>
      <c r="S48">
        <v>5.9109999999999996E-3</v>
      </c>
      <c r="T48">
        <v>6.574E-3</v>
      </c>
      <c r="U48">
        <v>5.0530000000000002E-3</v>
      </c>
      <c r="V48">
        <f t="shared" si="2"/>
        <v>1.5181700000000001E-2</v>
      </c>
      <c r="W48">
        <f t="shared" si="1"/>
        <v>2.2921755054739448E-3</v>
      </c>
    </row>
    <row r="49" spans="1:23" x14ac:dyDescent="0.2">
      <c r="A49">
        <v>95</v>
      </c>
      <c r="B49">
        <v>1.8499000000000002E-2</v>
      </c>
      <c r="C49">
        <v>9.9590000000000008E-3</v>
      </c>
      <c r="D49">
        <v>6.0780000000000001E-3</v>
      </c>
      <c r="E49">
        <v>3.0972E-2</v>
      </c>
      <c r="F49">
        <v>1.6678999999999999E-2</v>
      </c>
      <c r="G49">
        <v>1.4843E-2</v>
      </c>
      <c r="H49">
        <v>7.3280000000000003E-3</v>
      </c>
      <c r="I49">
        <v>9.2610000000000001E-3</v>
      </c>
      <c r="J49">
        <v>1.2395E-2</v>
      </c>
      <c r="K49">
        <v>2.6273999999999999E-2</v>
      </c>
      <c r="L49">
        <v>1.8499000000000002E-2</v>
      </c>
      <c r="M49">
        <v>9.9590000000000008E-3</v>
      </c>
      <c r="N49">
        <v>6.0780000000000001E-3</v>
      </c>
      <c r="O49">
        <v>3.0972E-2</v>
      </c>
      <c r="P49">
        <v>1.6678999999999999E-2</v>
      </c>
      <c r="Q49">
        <v>1.4843E-2</v>
      </c>
      <c r="R49">
        <v>7.3280000000000003E-3</v>
      </c>
      <c r="S49">
        <v>9.2610000000000001E-3</v>
      </c>
      <c r="T49">
        <v>1.2395E-2</v>
      </c>
      <c r="U49">
        <v>2.6273999999999999E-2</v>
      </c>
      <c r="V49">
        <f t="shared" si="2"/>
        <v>1.5228800000000001E-2</v>
      </c>
      <c r="W49">
        <f t="shared" si="1"/>
        <v>1.7775893664706346E-3</v>
      </c>
    </row>
    <row r="50" spans="1:23" x14ac:dyDescent="0.2">
      <c r="A50">
        <v>105</v>
      </c>
      <c r="B50">
        <v>-1.8000000000000001E-4</v>
      </c>
      <c r="C50">
        <v>1.4467000000000001E-2</v>
      </c>
      <c r="D50">
        <v>9.4680000000000007E-3</v>
      </c>
      <c r="E50">
        <v>2.8667000000000002E-2</v>
      </c>
      <c r="F50">
        <v>3.0268E-2</v>
      </c>
      <c r="G50">
        <v>1.9649E-2</v>
      </c>
      <c r="H50">
        <v>2.0957E-2</v>
      </c>
      <c r="I50">
        <v>5.8399999999999997E-3</v>
      </c>
      <c r="J50">
        <v>1.5549E-2</v>
      </c>
      <c r="K50">
        <v>1.5685999999999999E-2</v>
      </c>
      <c r="L50">
        <v>-1.8000000000000001E-4</v>
      </c>
      <c r="M50">
        <v>1.4467000000000001E-2</v>
      </c>
      <c r="N50">
        <v>9.4680000000000007E-3</v>
      </c>
      <c r="O50">
        <v>2.8667000000000002E-2</v>
      </c>
      <c r="P50">
        <v>3.0268E-2</v>
      </c>
      <c r="Q50">
        <v>1.9649E-2</v>
      </c>
      <c r="R50">
        <v>2.0957E-2</v>
      </c>
      <c r="S50">
        <v>5.8399999999999997E-3</v>
      </c>
      <c r="T50">
        <v>1.5549E-2</v>
      </c>
      <c r="U50">
        <v>1.5685999999999999E-2</v>
      </c>
      <c r="V50">
        <f t="shared" si="2"/>
        <v>1.6037099999999999E-2</v>
      </c>
      <c r="W50">
        <f t="shared" si="1"/>
        <v>2.0675934509523518E-3</v>
      </c>
    </row>
    <row r="51" spans="1:23" x14ac:dyDescent="0.2">
      <c r="A51">
        <v>100</v>
      </c>
      <c r="B51">
        <v>1.1244000000000001E-2</v>
      </c>
      <c r="C51">
        <v>7.345E-3</v>
      </c>
      <c r="D51">
        <v>7.4489999999999999E-3</v>
      </c>
      <c r="E51">
        <v>3.5249999999999997E-2</v>
      </c>
      <c r="F51">
        <v>3.2362000000000002E-2</v>
      </c>
      <c r="G51">
        <v>1.3450999999999999E-2</v>
      </c>
      <c r="H51">
        <v>9.5600000000000008E-3</v>
      </c>
      <c r="I51">
        <v>6.7390000000000002E-3</v>
      </c>
      <c r="J51">
        <v>1.0716E-2</v>
      </c>
      <c r="K51">
        <v>2.6710000000000001E-2</v>
      </c>
      <c r="L51">
        <v>1.1244000000000001E-2</v>
      </c>
      <c r="M51">
        <v>7.345E-3</v>
      </c>
      <c r="N51">
        <v>7.4489999999999999E-3</v>
      </c>
      <c r="O51">
        <v>3.5249999999999997E-2</v>
      </c>
      <c r="P51">
        <v>3.2362000000000002E-2</v>
      </c>
      <c r="Q51">
        <v>1.3450999999999999E-2</v>
      </c>
      <c r="R51">
        <v>9.5600000000000008E-3</v>
      </c>
      <c r="S51">
        <v>6.7390000000000002E-3</v>
      </c>
      <c r="T51">
        <v>1.0716E-2</v>
      </c>
      <c r="U51">
        <v>2.6710000000000001E-2</v>
      </c>
      <c r="V51">
        <f t="shared" si="2"/>
        <v>1.6082600000000002E-2</v>
      </c>
      <c r="W51">
        <f t="shared" si="1"/>
        <v>2.3899123044910844E-3</v>
      </c>
    </row>
    <row r="52" spans="1:23" x14ac:dyDescent="0.2">
      <c r="A52">
        <v>120</v>
      </c>
      <c r="B52">
        <v>1.4651000000000001E-2</v>
      </c>
      <c r="C52">
        <v>2.9914E-2</v>
      </c>
      <c r="D52">
        <v>8.1639999999999994E-3</v>
      </c>
      <c r="E52">
        <v>2.9770999999999999E-2</v>
      </c>
      <c r="F52">
        <v>4.2913E-2</v>
      </c>
      <c r="G52">
        <v>1.5448999999999999E-2</v>
      </c>
      <c r="H52">
        <v>8.9040000000000005E-3</v>
      </c>
      <c r="I52">
        <v>3.4759999999999999E-3</v>
      </c>
      <c r="J52">
        <v>1.0481000000000001E-2</v>
      </c>
      <c r="K52">
        <v>1.7704999999999999E-2</v>
      </c>
      <c r="L52">
        <v>1.4651000000000001E-2</v>
      </c>
      <c r="M52">
        <v>2.9914E-2</v>
      </c>
      <c r="N52">
        <v>8.1639999999999994E-3</v>
      </c>
      <c r="O52">
        <v>2.9770999999999999E-2</v>
      </c>
      <c r="P52">
        <v>4.2913E-2</v>
      </c>
      <c r="Q52">
        <v>1.5448999999999999E-2</v>
      </c>
      <c r="R52">
        <v>8.9040000000000005E-3</v>
      </c>
      <c r="S52">
        <v>3.4759999999999999E-3</v>
      </c>
      <c r="T52">
        <v>1.0481000000000001E-2</v>
      </c>
      <c r="U52">
        <v>1.7704999999999999E-2</v>
      </c>
      <c r="V52">
        <f t="shared" si="2"/>
        <v>1.8142799999999997E-2</v>
      </c>
      <c r="W52">
        <f t="shared" si="1"/>
        <v>2.6810543523024671E-3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cvontedd@student.ubc.ca</cp:lastModifiedBy>
  <dcterms:created xsi:type="dcterms:W3CDTF">2024-05-14T11:18:36Z</dcterms:created>
  <dcterms:modified xsi:type="dcterms:W3CDTF">2026-06-23T17:28:19Z</dcterms:modified>
</cp:coreProperties>
</file>