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https://ubcca-my.sharepoint.com/personal/eric_cytrynbaum_ubc_ca/Documents/Documents/Research/GitHub/Cell-Chirality-Model/src/data/"/>
    </mc:Choice>
  </mc:AlternateContent>
  <xr:revisionPtr revIDLastSave="1" documentId="11_15C5368D5B50566267D93011595ED87656CC5B50" xr6:coauthVersionLast="47" xr6:coauthVersionMax="47" xr10:uidLastSave="{72FE1C2E-CB76-5A4E-B622-37F07827CBCD}"/>
  <bookViews>
    <workbookView xWindow="0" yWindow="500" windowWidth="384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4" i="1" l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43" i="1"/>
  <c r="AO82" i="1"/>
  <c r="AN82" i="1"/>
  <c r="AQ82" i="1" s="1"/>
  <c r="AO81" i="1"/>
  <c r="AN81" i="1"/>
  <c r="AQ81" i="1" s="1"/>
  <c r="AQ80" i="1"/>
  <c r="AP80" i="1"/>
  <c r="AO80" i="1"/>
  <c r="AN80" i="1"/>
  <c r="AO79" i="1"/>
  <c r="AN79" i="1"/>
  <c r="AP79" i="1" s="1"/>
  <c r="AO78" i="1"/>
  <c r="AN78" i="1"/>
  <c r="AQ78" i="1" s="1"/>
  <c r="AO77" i="1"/>
  <c r="AN77" i="1"/>
  <c r="AQ77" i="1" s="1"/>
  <c r="AO76" i="1"/>
  <c r="AN76" i="1"/>
  <c r="AP76" i="1" s="1"/>
  <c r="AQ75" i="1"/>
  <c r="AP75" i="1"/>
  <c r="AO75" i="1"/>
  <c r="AN75" i="1"/>
  <c r="AO74" i="1"/>
  <c r="AN74" i="1"/>
  <c r="AP74" i="1" s="1"/>
  <c r="AO73" i="1"/>
  <c r="AN73" i="1"/>
  <c r="AQ73" i="1" s="1"/>
  <c r="AO72" i="1"/>
  <c r="AN72" i="1"/>
  <c r="AQ72" i="1" s="1"/>
  <c r="AO71" i="1"/>
  <c r="AN71" i="1"/>
  <c r="AQ71" i="1" s="1"/>
  <c r="AQ70" i="1"/>
  <c r="AP70" i="1"/>
  <c r="AO70" i="1"/>
  <c r="AN70" i="1"/>
  <c r="AO69" i="1"/>
  <c r="AN69" i="1"/>
  <c r="AP69" i="1" s="1"/>
  <c r="AO68" i="1"/>
  <c r="AN68" i="1"/>
  <c r="AQ68" i="1" s="1"/>
  <c r="AO67" i="1"/>
  <c r="AN67" i="1"/>
  <c r="AQ67" i="1" s="1"/>
  <c r="AO66" i="1"/>
  <c r="AN66" i="1"/>
  <c r="AQ66" i="1" s="1"/>
  <c r="AQ65" i="1"/>
  <c r="AP65" i="1"/>
  <c r="AO65" i="1"/>
  <c r="AN65" i="1"/>
  <c r="AO64" i="1"/>
  <c r="AN64" i="1"/>
  <c r="AQ64" i="1" s="1"/>
  <c r="AO63" i="1"/>
  <c r="AN63" i="1"/>
  <c r="AQ63" i="1" s="1"/>
  <c r="AO62" i="1"/>
  <c r="AN62" i="1"/>
  <c r="AQ62" i="1" s="1"/>
  <c r="AO61" i="1"/>
  <c r="AN61" i="1"/>
  <c r="AP61" i="1" s="1"/>
  <c r="AQ60" i="1"/>
  <c r="AP60" i="1"/>
  <c r="AO60" i="1"/>
  <c r="AN60" i="1"/>
  <c r="AO59" i="1"/>
  <c r="AN59" i="1"/>
  <c r="AQ59" i="1" s="1"/>
  <c r="AO58" i="1"/>
  <c r="AN58" i="1"/>
  <c r="AQ58" i="1" s="1"/>
  <c r="AO57" i="1"/>
  <c r="AN57" i="1"/>
  <c r="AQ57" i="1" s="1"/>
  <c r="AO56" i="1"/>
  <c r="AN56" i="1"/>
  <c r="AQ56" i="1" s="1"/>
  <c r="AQ55" i="1"/>
  <c r="AP55" i="1"/>
  <c r="AO55" i="1"/>
  <c r="AN55" i="1"/>
  <c r="AO54" i="1"/>
  <c r="AN54" i="1"/>
  <c r="AP54" i="1" s="1"/>
  <c r="AO53" i="1"/>
  <c r="AN53" i="1"/>
  <c r="AQ53" i="1" s="1"/>
  <c r="AO52" i="1"/>
  <c r="AN52" i="1"/>
  <c r="AQ52" i="1" s="1"/>
  <c r="AO51" i="1"/>
  <c r="AN51" i="1"/>
  <c r="AQ51" i="1" s="1"/>
  <c r="AQ50" i="1"/>
  <c r="AP50" i="1"/>
  <c r="AO50" i="1"/>
  <c r="AN50" i="1"/>
  <c r="AO49" i="1"/>
  <c r="AN49" i="1"/>
  <c r="AP49" i="1" s="1"/>
  <c r="AO48" i="1"/>
  <c r="AN48" i="1"/>
  <c r="AQ48" i="1" s="1"/>
  <c r="AO47" i="1"/>
  <c r="AN47" i="1"/>
  <c r="AQ47" i="1" s="1"/>
  <c r="AO46" i="1"/>
  <c r="AN46" i="1"/>
  <c r="AQ46" i="1" s="1"/>
  <c r="AQ45" i="1"/>
  <c r="AP45" i="1"/>
  <c r="AO45" i="1"/>
  <c r="AN45" i="1"/>
  <c r="AO44" i="1"/>
  <c r="AN44" i="1"/>
  <c r="AP44" i="1" s="1"/>
  <c r="AO43" i="1"/>
  <c r="AN43" i="1"/>
  <c r="AP43" i="1" s="1"/>
  <c r="AE82" i="1"/>
  <c r="AD82" i="1"/>
  <c r="AG82" i="1" s="1"/>
  <c r="AE81" i="1"/>
  <c r="AG81" i="1" s="1"/>
  <c r="AD81" i="1"/>
  <c r="AF81" i="1" s="1"/>
  <c r="AE80" i="1"/>
  <c r="AD80" i="1"/>
  <c r="AG80" i="1" s="1"/>
  <c r="AE79" i="1"/>
  <c r="AD79" i="1"/>
  <c r="AF79" i="1" s="1"/>
  <c r="AG78" i="1"/>
  <c r="AE78" i="1"/>
  <c r="AD78" i="1"/>
  <c r="AF78" i="1" s="1"/>
  <c r="AE77" i="1"/>
  <c r="AF77" i="1" s="1"/>
  <c r="AD77" i="1"/>
  <c r="AG77" i="1" s="1"/>
  <c r="AE76" i="1"/>
  <c r="AF76" i="1" s="1"/>
  <c r="AD76" i="1"/>
  <c r="AE75" i="1"/>
  <c r="AD75" i="1"/>
  <c r="AG75" i="1" s="1"/>
  <c r="AE74" i="1"/>
  <c r="AD74" i="1"/>
  <c r="AF74" i="1" s="1"/>
  <c r="AG73" i="1"/>
  <c r="AE73" i="1"/>
  <c r="AD73" i="1"/>
  <c r="AF73" i="1" s="1"/>
  <c r="AE72" i="1"/>
  <c r="AG72" i="1" s="1"/>
  <c r="AD72" i="1"/>
  <c r="AE71" i="1"/>
  <c r="AF71" i="1" s="1"/>
  <c r="AD71" i="1"/>
  <c r="AE70" i="1"/>
  <c r="AD70" i="1"/>
  <c r="AG70" i="1" s="1"/>
  <c r="AE69" i="1"/>
  <c r="AD69" i="1"/>
  <c r="AF69" i="1" s="1"/>
  <c r="AG68" i="1"/>
  <c r="AE68" i="1"/>
  <c r="AD68" i="1"/>
  <c r="AF68" i="1" s="1"/>
  <c r="AE67" i="1"/>
  <c r="AG67" i="1" s="1"/>
  <c r="AD67" i="1"/>
  <c r="AE66" i="1"/>
  <c r="AG66" i="1" s="1"/>
  <c r="AD66" i="1"/>
  <c r="AE65" i="1"/>
  <c r="AD65" i="1"/>
  <c r="AG65" i="1" s="1"/>
  <c r="AE64" i="1"/>
  <c r="AD64" i="1"/>
  <c r="AF64" i="1" s="1"/>
  <c r="AG63" i="1"/>
  <c r="AE63" i="1"/>
  <c r="AF63" i="1" s="1"/>
  <c r="AD63" i="1"/>
  <c r="AE62" i="1"/>
  <c r="AG62" i="1" s="1"/>
  <c r="AD62" i="1"/>
  <c r="AE61" i="1"/>
  <c r="AF61" i="1" s="1"/>
  <c r="AD61" i="1"/>
  <c r="AE60" i="1"/>
  <c r="AD60" i="1"/>
  <c r="AG60" i="1" s="1"/>
  <c r="AE59" i="1"/>
  <c r="AD59" i="1"/>
  <c r="AF59" i="1" s="1"/>
  <c r="AG58" i="1"/>
  <c r="AE58" i="1"/>
  <c r="AF58" i="1" s="1"/>
  <c r="AD58" i="1"/>
  <c r="AE57" i="1"/>
  <c r="AG57" i="1" s="1"/>
  <c r="AD57" i="1"/>
  <c r="AE56" i="1"/>
  <c r="AG56" i="1" s="1"/>
  <c r="AD56" i="1"/>
  <c r="AE55" i="1"/>
  <c r="AD55" i="1"/>
  <c r="AG55" i="1" s="1"/>
  <c r="AE54" i="1"/>
  <c r="AD54" i="1"/>
  <c r="AF54" i="1" s="1"/>
  <c r="AG53" i="1"/>
  <c r="AE53" i="1"/>
  <c r="AF53" i="1" s="1"/>
  <c r="AD53" i="1"/>
  <c r="AE52" i="1"/>
  <c r="AF52" i="1" s="1"/>
  <c r="AD52" i="1"/>
  <c r="AE51" i="1"/>
  <c r="AG51" i="1" s="1"/>
  <c r="AD51" i="1"/>
  <c r="AE50" i="1"/>
  <c r="AD50" i="1"/>
  <c r="AG50" i="1" s="1"/>
  <c r="AE49" i="1"/>
  <c r="AD49" i="1"/>
  <c r="AF49" i="1" s="1"/>
  <c r="AG48" i="1"/>
  <c r="AE48" i="1"/>
  <c r="AF48" i="1" s="1"/>
  <c r="AD48" i="1"/>
  <c r="AE47" i="1"/>
  <c r="AG47" i="1" s="1"/>
  <c r="AD47" i="1"/>
  <c r="AE46" i="1"/>
  <c r="AF46" i="1" s="1"/>
  <c r="AD46" i="1"/>
  <c r="AE45" i="1"/>
  <c r="AD45" i="1"/>
  <c r="AG45" i="1" s="1"/>
  <c r="AE44" i="1"/>
  <c r="AD44" i="1"/>
  <c r="AF44" i="1" s="1"/>
  <c r="AG43" i="1"/>
  <c r="AE43" i="1"/>
  <c r="AF43" i="1" s="1"/>
  <c r="AD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43" i="1"/>
  <c r="U82" i="1"/>
  <c r="T82" i="1"/>
  <c r="U81" i="1"/>
  <c r="T81" i="1"/>
  <c r="U80" i="1"/>
  <c r="T80" i="1"/>
  <c r="U79" i="1"/>
  <c r="T79" i="1"/>
  <c r="U78" i="1"/>
  <c r="T78" i="1"/>
  <c r="U77" i="1"/>
  <c r="T77" i="1"/>
  <c r="U76" i="1"/>
  <c r="T76" i="1"/>
  <c r="U75" i="1"/>
  <c r="T75" i="1"/>
  <c r="U74" i="1"/>
  <c r="T74" i="1"/>
  <c r="U73" i="1"/>
  <c r="T73" i="1"/>
  <c r="U72" i="1"/>
  <c r="T72" i="1"/>
  <c r="U71" i="1"/>
  <c r="T71" i="1"/>
  <c r="U70" i="1"/>
  <c r="T70" i="1"/>
  <c r="U69" i="1"/>
  <c r="T69" i="1"/>
  <c r="U68" i="1"/>
  <c r="T68" i="1"/>
  <c r="U67" i="1"/>
  <c r="T67" i="1"/>
  <c r="U66" i="1"/>
  <c r="T66" i="1"/>
  <c r="U65" i="1"/>
  <c r="T65" i="1"/>
  <c r="U64" i="1"/>
  <c r="T64" i="1"/>
  <c r="U63" i="1"/>
  <c r="T63" i="1"/>
  <c r="U62" i="1"/>
  <c r="T62" i="1"/>
  <c r="U61" i="1"/>
  <c r="T61" i="1"/>
  <c r="U60" i="1"/>
  <c r="T60" i="1"/>
  <c r="U59" i="1"/>
  <c r="T59" i="1"/>
  <c r="U58" i="1"/>
  <c r="T58" i="1"/>
  <c r="U57" i="1"/>
  <c r="T57" i="1"/>
  <c r="U56" i="1"/>
  <c r="T56" i="1"/>
  <c r="U55" i="1"/>
  <c r="T55" i="1"/>
  <c r="U54" i="1"/>
  <c r="T54" i="1"/>
  <c r="U53" i="1"/>
  <c r="T53" i="1"/>
  <c r="U52" i="1"/>
  <c r="T52" i="1"/>
  <c r="U51" i="1"/>
  <c r="T51" i="1"/>
  <c r="U50" i="1"/>
  <c r="T50" i="1"/>
  <c r="U49" i="1"/>
  <c r="T49" i="1"/>
  <c r="U48" i="1"/>
  <c r="T48" i="1"/>
  <c r="U47" i="1"/>
  <c r="T47" i="1"/>
  <c r="U46" i="1"/>
  <c r="T46" i="1"/>
  <c r="U45" i="1"/>
  <c r="T45" i="1"/>
  <c r="U44" i="1"/>
  <c r="T44" i="1"/>
  <c r="U43" i="1"/>
  <c r="T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43" i="1"/>
  <c r="AP78" i="1" l="1"/>
  <c r="AP58" i="1"/>
  <c r="AP73" i="1"/>
  <c r="AQ43" i="1"/>
  <c r="AP48" i="1"/>
  <c r="AP63" i="1"/>
  <c r="AP68" i="1"/>
  <c r="AP46" i="1"/>
  <c r="AP51" i="1"/>
  <c r="AP56" i="1"/>
  <c r="AP66" i="1"/>
  <c r="AP71" i="1"/>
  <c r="AP81" i="1"/>
  <c r="AQ61" i="1"/>
  <c r="AQ76" i="1"/>
  <c r="AP59" i="1"/>
  <c r="AP64" i="1"/>
  <c r="AQ44" i="1"/>
  <c r="AQ49" i="1"/>
  <c r="AQ54" i="1"/>
  <c r="AQ69" i="1"/>
  <c r="AQ74" i="1"/>
  <c r="AQ79" i="1"/>
  <c r="AP47" i="1"/>
  <c r="AP52" i="1"/>
  <c r="AP57" i="1"/>
  <c r="AP62" i="1"/>
  <c r="AP67" i="1"/>
  <c r="AP72" i="1"/>
  <c r="AP77" i="1"/>
  <c r="AP82" i="1"/>
  <c r="AP53" i="1"/>
  <c r="AF45" i="1"/>
  <c r="AF50" i="1"/>
  <c r="AF55" i="1"/>
  <c r="AF60" i="1"/>
  <c r="AF65" i="1"/>
  <c r="AF70" i="1"/>
  <c r="AF75" i="1"/>
  <c r="AF80" i="1"/>
  <c r="AF51" i="1"/>
  <c r="AF56" i="1"/>
  <c r="AG46" i="1"/>
  <c r="AG61" i="1"/>
  <c r="AG71" i="1"/>
  <c r="AG76" i="1"/>
  <c r="AG44" i="1"/>
  <c r="AG59" i="1"/>
  <c r="AG69" i="1"/>
  <c r="AG74" i="1"/>
  <c r="AG79" i="1"/>
  <c r="AF47" i="1"/>
  <c r="AF62" i="1"/>
  <c r="AF67" i="1"/>
  <c r="AF72" i="1"/>
  <c r="AG52" i="1"/>
  <c r="AF66" i="1"/>
  <c r="AG49" i="1"/>
  <c r="AG54" i="1"/>
  <c r="AG64" i="1"/>
  <c r="AF57" i="1"/>
  <c r="AF82" i="1"/>
</calcChain>
</file>

<file path=xl/sharedStrings.xml><?xml version="1.0" encoding="utf-8"?>
<sst xmlns="http://schemas.openxmlformats.org/spreadsheetml/2006/main" count="41" uniqueCount="41">
  <si>
    <t>t</t>
  </si>
  <si>
    <t>ABa_dorsal_0</t>
  </si>
  <si>
    <t>ABa_dorsal_1</t>
  </si>
  <si>
    <t>ABa_dorsal_2</t>
  </si>
  <si>
    <t>ABa_dorsal_3</t>
  </si>
  <si>
    <t>ABa_dorsal_4</t>
  </si>
  <si>
    <t>ABa_dorsal_5</t>
  </si>
  <si>
    <t>ABa_dorsal_6</t>
  </si>
  <si>
    <t>ABa_dorsal_7</t>
  </si>
  <si>
    <t>ABa_dorsal_8</t>
  </si>
  <si>
    <t>ABa_dorsal_9</t>
  </si>
  <si>
    <t>ABp_dorsal_0</t>
  </si>
  <si>
    <t>ABp_dorsal_1</t>
  </si>
  <si>
    <t>ABp_dorsal_2</t>
  </si>
  <si>
    <t>ABp_dorsal_3</t>
  </si>
  <si>
    <t>ABp_dorsal_4</t>
  </si>
  <si>
    <t>ABp_dorsal_5</t>
  </si>
  <si>
    <t>ABp_dorsal_6</t>
  </si>
  <si>
    <t>ABp_dorsal_7</t>
  </si>
  <si>
    <t>ABp_dorsal_8</t>
  </si>
  <si>
    <t>ABp_dorsal_9</t>
  </si>
  <si>
    <t>ABa_ant_0</t>
  </si>
  <si>
    <t>ABa_ant_1</t>
  </si>
  <si>
    <t>ABa_ant_2</t>
  </si>
  <si>
    <t>ABa_ant_3</t>
  </si>
  <si>
    <t>ABa_ant_4</t>
  </si>
  <si>
    <t>ABa_ant_5</t>
  </si>
  <si>
    <t>ABa_ant_6</t>
  </si>
  <si>
    <t>ABa_ant_7</t>
  </si>
  <si>
    <t>ABa_ant_8</t>
  </si>
  <si>
    <t>ABa_ant_9</t>
  </si>
  <si>
    <t>ABp_ant_0</t>
  </si>
  <si>
    <t>ABp_ant_1</t>
  </si>
  <si>
    <t>ABp_ant_2</t>
  </si>
  <si>
    <t>ABp_ant_3</t>
  </si>
  <si>
    <t>ABp_ant_4</t>
  </si>
  <si>
    <t>ABp_ant_5</t>
  </si>
  <si>
    <t>ABp_ant_6</t>
  </si>
  <si>
    <t>ABp_ant_7</t>
  </si>
  <si>
    <t>ABp_ant_8</t>
  </si>
  <si>
    <t>ABp_ant_9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</si>
</sst>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Sheet1!$J$43:$J$82</c:f>
              <c:numCache>
                <c:formatCode>General</c:formatCode>
                <c:ptCount val="40"/>
                <c:pt idx="0">
                  <c:v>90</c:v>
                </c:pt>
                <c:pt idx="1">
                  <c:v>91.582999999999998</c:v>
                </c:pt>
                <c:pt idx="2">
                  <c:v>90.396000000000001</c:v>
                </c:pt>
                <c:pt idx="3">
                  <c:v>89.513000000000005</c:v>
                </c:pt>
                <c:pt idx="4">
                  <c:v>89.09099999999998</c:v>
                </c:pt>
                <c:pt idx="5">
                  <c:v>88.844999999999999</c:v>
                </c:pt>
                <c:pt idx="6">
                  <c:v>88.228999999999999</c:v>
                </c:pt>
                <c:pt idx="7">
                  <c:v>86.987000000000009</c:v>
                </c:pt>
                <c:pt idx="8">
                  <c:v>85.765999999999991</c:v>
                </c:pt>
                <c:pt idx="9">
                  <c:v>85.167000000000002</c:v>
                </c:pt>
                <c:pt idx="10">
                  <c:v>84.724000000000004</c:v>
                </c:pt>
                <c:pt idx="11">
                  <c:v>84.214000000000013</c:v>
                </c:pt>
                <c:pt idx="12">
                  <c:v>83.941999999999993</c:v>
                </c:pt>
                <c:pt idx="13">
                  <c:v>82.438000000000002</c:v>
                </c:pt>
                <c:pt idx="14">
                  <c:v>80.727000000000004</c:v>
                </c:pt>
                <c:pt idx="15">
                  <c:v>79.698999999999998</c:v>
                </c:pt>
                <c:pt idx="16">
                  <c:v>77.744</c:v>
                </c:pt>
                <c:pt idx="17">
                  <c:v>76.257000000000005</c:v>
                </c:pt>
                <c:pt idx="18">
                  <c:v>75.230999999999995</c:v>
                </c:pt>
                <c:pt idx="19">
                  <c:v>74.78</c:v>
                </c:pt>
                <c:pt idx="20">
                  <c:v>73.565000000000012</c:v>
                </c:pt>
                <c:pt idx="21">
                  <c:v>72.956999999999994</c:v>
                </c:pt>
                <c:pt idx="22">
                  <c:v>71.937000000000012</c:v>
                </c:pt>
                <c:pt idx="23">
                  <c:v>71.28</c:v>
                </c:pt>
                <c:pt idx="24">
                  <c:v>70.482000000000014</c:v>
                </c:pt>
                <c:pt idx="25">
                  <c:v>69.36999999999999</c:v>
                </c:pt>
                <c:pt idx="26">
                  <c:v>68.751000000000005</c:v>
                </c:pt>
                <c:pt idx="27">
                  <c:v>67.972999999999999</c:v>
                </c:pt>
                <c:pt idx="28">
                  <c:v>67.623000000000019</c:v>
                </c:pt>
                <c:pt idx="29">
                  <c:v>66.496000000000009</c:v>
                </c:pt>
                <c:pt idx="30">
                  <c:v>65.586999999999989</c:v>
                </c:pt>
                <c:pt idx="31">
                  <c:v>64.411000000000001</c:v>
                </c:pt>
                <c:pt idx="32">
                  <c:v>64.583999999999989</c:v>
                </c:pt>
                <c:pt idx="33">
                  <c:v>64.205000000000013</c:v>
                </c:pt>
                <c:pt idx="34">
                  <c:v>64.564999999999998</c:v>
                </c:pt>
                <c:pt idx="35">
                  <c:v>63.363999999999997</c:v>
                </c:pt>
                <c:pt idx="36">
                  <c:v>62.581999999999994</c:v>
                </c:pt>
                <c:pt idx="37">
                  <c:v>61.819000000000003</c:v>
                </c:pt>
                <c:pt idx="38">
                  <c:v>61.293000000000006</c:v>
                </c:pt>
                <c:pt idx="39">
                  <c:v>60.234999999999999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EE-ED44-B234-819EEC732DF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Sheet1!$L$43:$L$82</c:f>
              <c:numCache>
                <c:formatCode>General</c:formatCode>
                <c:ptCount val="40"/>
                <c:pt idx="0">
                  <c:v>90</c:v>
                </c:pt>
                <c:pt idx="1">
                  <c:v>90.583570607151813</c:v>
                </c:pt>
                <c:pt idx="2">
                  <c:v>88.027007207215135</c:v>
                </c:pt>
                <c:pt idx="3">
                  <c:v>86.969709944588402</c:v>
                </c:pt>
                <c:pt idx="4">
                  <c:v>86.76626143275324</c:v>
                </c:pt>
                <c:pt idx="5">
                  <c:v>85.796130205615341</c:v>
                </c:pt>
                <c:pt idx="6">
                  <c:v>85.077660431597735</c:v>
                </c:pt>
                <c:pt idx="7">
                  <c:v>83.719793659245468</c:v>
                </c:pt>
                <c:pt idx="8">
                  <c:v>82.004562824923894</c:v>
                </c:pt>
                <c:pt idx="9">
                  <c:v>80.851344812847074</c:v>
                </c:pt>
                <c:pt idx="10">
                  <c:v>80.320557372963748</c:v>
                </c:pt>
                <c:pt idx="11">
                  <c:v>79.721659666518789</c:v>
                </c:pt>
                <c:pt idx="12">
                  <c:v>79.257233892502683</c:v>
                </c:pt>
                <c:pt idx="13">
                  <c:v>77.339966863696901</c:v>
                </c:pt>
                <c:pt idx="14">
                  <c:v>75.091478266471995</c:v>
                </c:pt>
                <c:pt idx="15">
                  <c:v>73.723754309557194</c:v>
                </c:pt>
                <c:pt idx="16">
                  <c:v>71.914957803183569</c:v>
                </c:pt>
                <c:pt idx="17">
                  <c:v>70.452632049935744</c:v>
                </c:pt>
                <c:pt idx="18">
                  <c:v>69.674363742230781</c:v>
                </c:pt>
                <c:pt idx="19">
                  <c:v>69.516559980139789</c:v>
                </c:pt>
                <c:pt idx="20">
                  <c:v>68.007642630490253</c:v>
                </c:pt>
                <c:pt idx="21">
                  <c:v>66.993540211946282</c:v>
                </c:pt>
                <c:pt idx="22">
                  <c:v>65.625577458029937</c:v>
                </c:pt>
                <c:pt idx="23">
                  <c:v>65.191984225162784</c:v>
                </c:pt>
                <c:pt idx="24">
                  <c:v>64.534684884144099</c:v>
                </c:pt>
                <c:pt idx="25">
                  <c:v>63.391208912088572</c:v>
                </c:pt>
                <c:pt idx="26">
                  <c:v>62.789063987089094</c:v>
                </c:pt>
                <c:pt idx="27">
                  <c:v>61.797799193318141</c:v>
                </c:pt>
                <c:pt idx="28">
                  <c:v>61.356479470626027</c:v>
                </c:pt>
                <c:pt idx="29">
                  <c:v>59.884018637063335</c:v>
                </c:pt>
                <c:pt idx="30">
                  <c:v>58.837813022513942</c:v>
                </c:pt>
                <c:pt idx="31">
                  <c:v>57.491268831310514</c:v>
                </c:pt>
                <c:pt idx="32">
                  <c:v>57.933358555193479</c:v>
                </c:pt>
                <c:pt idx="33">
                  <c:v>57.455490360198262</c:v>
                </c:pt>
                <c:pt idx="34">
                  <c:v>57.984760260159362</c:v>
                </c:pt>
                <c:pt idx="35">
                  <c:v>56.48118669788127</c:v>
                </c:pt>
                <c:pt idx="36">
                  <c:v>55.310598526819049</c:v>
                </c:pt>
                <c:pt idx="37">
                  <c:v>54.297438916064195</c:v>
                </c:pt>
                <c:pt idx="38">
                  <c:v>53.539672237078541</c:v>
                </c:pt>
                <c:pt idx="39">
                  <c:v>52.252100084416554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EE-ED44-B234-819EEC732DF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Sheet1!$M$43:$M$82</c:f>
              <c:numCache>
                <c:formatCode>General</c:formatCode>
                <c:ptCount val="40"/>
                <c:pt idx="0">
                  <c:v>90</c:v>
                </c:pt>
                <c:pt idx="1">
                  <c:v>92.582429392848184</c:v>
                </c:pt>
                <c:pt idx="2">
                  <c:v>92.764992792784867</c:v>
                </c:pt>
                <c:pt idx="3">
                  <c:v>92.056290055411608</c:v>
                </c:pt>
                <c:pt idx="4">
                  <c:v>91.41573856724672</c:v>
                </c:pt>
                <c:pt idx="5">
                  <c:v>91.893869794384656</c:v>
                </c:pt>
                <c:pt idx="6">
                  <c:v>91.380339568402263</c:v>
                </c:pt>
                <c:pt idx="7">
                  <c:v>90.25420634075455</c:v>
                </c:pt>
                <c:pt idx="8">
                  <c:v>89.527437175076088</c:v>
                </c:pt>
                <c:pt idx="9">
                  <c:v>89.482655187152929</c:v>
                </c:pt>
                <c:pt idx="10">
                  <c:v>89.12744262703626</c:v>
                </c:pt>
                <c:pt idx="11">
                  <c:v>88.706340333481236</c:v>
                </c:pt>
                <c:pt idx="12">
                  <c:v>88.626766107497303</c:v>
                </c:pt>
                <c:pt idx="13">
                  <c:v>87.536033136303104</c:v>
                </c:pt>
                <c:pt idx="14">
                  <c:v>86.362521733528013</c:v>
                </c:pt>
                <c:pt idx="15">
                  <c:v>85.674245690442802</c:v>
                </c:pt>
                <c:pt idx="16">
                  <c:v>83.573042196816431</c:v>
                </c:pt>
                <c:pt idx="17">
                  <c:v>82.061367950064266</c:v>
                </c:pt>
                <c:pt idx="18">
                  <c:v>80.787636257769208</c:v>
                </c:pt>
                <c:pt idx="19">
                  <c:v>80.043440019860213</c:v>
                </c:pt>
                <c:pt idx="20">
                  <c:v>79.122357369509771</c:v>
                </c:pt>
                <c:pt idx="21">
                  <c:v>78.920459788053705</c:v>
                </c:pt>
                <c:pt idx="22">
                  <c:v>78.248422541970086</c:v>
                </c:pt>
                <c:pt idx="23">
                  <c:v>77.368015774837218</c:v>
                </c:pt>
                <c:pt idx="24">
                  <c:v>76.429315115855928</c:v>
                </c:pt>
                <c:pt idx="25">
                  <c:v>75.348791087911408</c:v>
                </c:pt>
                <c:pt idx="26">
                  <c:v>74.712936012910916</c:v>
                </c:pt>
                <c:pt idx="27">
                  <c:v>74.148200806681857</c:v>
                </c:pt>
                <c:pt idx="28">
                  <c:v>73.88952052937401</c:v>
                </c:pt>
                <c:pt idx="29">
                  <c:v>73.107981362936684</c:v>
                </c:pt>
                <c:pt idx="30">
                  <c:v>72.336186977486037</c:v>
                </c:pt>
                <c:pt idx="31">
                  <c:v>71.330731168689496</c:v>
                </c:pt>
                <c:pt idx="32">
                  <c:v>71.234641444806499</c:v>
                </c:pt>
                <c:pt idx="33">
                  <c:v>70.954509639801756</c:v>
                </c:pt>
                <c:pt idx="34">
                  <c:v>71.145239739840633</c:v>
                </c:pt>
                <c:pt idx="35">
                  <c:v>70.246813302118724</c:v>
                </c:pt>
                <c:pt idx="36">
                  <c:v>69.853401473180938</c:v>
                </c:pt>
                <c:pt idx="37">
                  <c:v>69.34056108393581</c:v>
                </c:pt>
                <c:pt idx="38">
                  <c:v>69.046327762921479</c:v>
                </c:pt>
                <c:pt idx="39">
                  <c:v>68.217899915583445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EE-ED44-B234-819EEC732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268160"/>
        <c:axId val="671269872"/>
      </c:lineChart>
      <c:catAx>
        <c:axId val="67126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269872"/>
        <c:crosses val="autoZero"/>
        <c:auto val="1"/>
        <c:lblAlgn val="ctr"/>
        <c:lblOffset val="100"/>
        <c:noMultiLvlLbl val="0"/>
      </c:catAx>
      <c:valAx>
        <c:axId val="67126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26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Sheet1!$T$43:$T$82</c:f>
              <c:numCache>
                <c:formatCode>General</c:formatCode>
                <c:ptCount val="40"/>
                <c:pt idx="0">
                  <c:v>90</c:v>
                </c:pt>
                <c:pt idx="1">
                  <c:v>90.989000000000004</c:v>
                </c:pt>
                <c:pt idx="2">
                  <c:v>90.471000000000004</c:v>
                </c:pt>
                <c:pt idx="3">
                  <c:v>90.018000000000001</c:v>
                </c:pt>
                <c:pt idx="4">
                  <c:v>90.24799999999999</c:v>
                </c:pt>
                <c:pt idx="5">
                  <c:v>90.22</c:v>
                </c:pt>
                <c:pt idx="6">
                  <c:v>89.742000000000004</c:v>
                </c:pt>
                <c:pt idx="7">
                  <c:v>88.931999999999988</c:v>
                </c:pt>
                <c:pt idx="8">
                  <c:v>87.820999999999998</c:v>
                </c:pt>
                <c:pt idx="9">
                  <c:v>87.468999999999994</c:v>
                </c:pt>
                <c:pt idx="10">
                  <c:v>87.073999999999998</c:v>
                </c:pt>
                <c:pt idx="11">
                  <c:v>85.914000000000001</c:v>
                </c:pt>
                <c:pt idx="12">
                  <c:v>85.009</c:v>
                </c:pt>
                <c:pt idx="13">
                  <c:v>84.043999999999997</c:v>
                </c:pt>
                <c:pt idx="14">
                  <c:v>82.77000000000001</c:v>
                </c:pt>
                <c:pt idx="15">
                  <c:v>82.116000000000014</c:v>
                </c:pt>
                <c:pt idx="16">
                  <c:v>81.22</c:v>
                </c:pt>
                <c:pt idx="17">
                  <c:v>80.210999999999984</c:v>
                </c:pt>
                <c:pt idx="18">
                  <c:v>79.169999999999987</c:v>
                </c:pt>
                <c:pt idx="19">
                  <c:v>77.896000000000001</c:v>
                </c:pt>
                <c:pt idx="20">
                  <c:v>76.914999999999992</c:v>
                </c:pt>
                <c:pt idx="21">
                  <c:v>75.866</c:v>
                </c:pt>
                <c:pt idx="22">
                  <c:v>75.217000000000013</c:v>
                </c:pt>
                <c:pt idx="23">
                  <c:v>74.717999999999989</c:v>
                </c:pt>
                <c:pt idx="24">
                  <c:v>74.025999999999982</c:v>
                </c:pt>
                <c:pt idx="25">
                  <c:v>73.561999999999983</c:v>
                </c:pt>
                <c:pt idx="26">
                  <c:v>72.796999999999997</c:v>
                </c:pt>
                <c:pt idx="27">
                  <c:v>71.616</c:v>
                </c:pt>
                <c:pt idx="28">
                  <c:v>70.977999999999994</c:v>
                </c:pt>
                <c:pt idx="29">
                  <c:v>69.905000000000001</c:v>
                </c:pt>
                <c:pt idx="30">
                  <c:v>69.025000000000006</c:v>
                </c:pt>
                <c:pt idx="31">
                  <c:v>68.275000000000006</c:v>
                </c:pt>
                <c:pt idx="32">
                  <c:v>67.460999999999984</c:v>
                </c:pt>
                <c:pt idx="33">
                  <c:v>66.917999999999992</c:v>
                </c:pt>
                <c:pt idx="34">
                  <c:v>66.340999999999994</c:v>
                </c:pt>
                <c:pt idx="35">
                  <c:v>65.477000000000004</c:v>
                </c:pt>
                <c:pt idx="36">
                  <c:v>64.921999999999997</c:v>
                </c:pt>
                <c:pt idx="37">
                  <c:v>63.803999999999995</c:v>
                </c:pt>
                <c:pt idx="38">
                  <c:v>63.463000000000008</c:v>
                </c:pt>
                <c:pt idx="39">
                  <c:v>62.73299999999999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A2-8648-8C56-F241D5A7F9B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Sheet1!$V$43:$V$82</c:f>
              <c:numCache>
                <c:formatCode>General</c:formatCode>
                <c:ptCount val="40"/>
                <c:pt idx="0">
                  <c:v>90</c:v>
                </c:pt>
                <c:pt idx="1">
                  <c:v>90.421536088822478</c:v>
                </c:pt>
                <c:pt idx="2">
                  <c:v>89.181433692954613</c:v>
                </c:pt>
                <c:pt idx="3">
                  <c:v>88.311922105933547</c:v>
                </c:pt>
                <c:pt idx="4">
                  <c:v>88.832056786072727</c:v>
                </c:pt>
                <c:pt idx="5">
                  <c:v>89.143454152496147</c:v>
                </c:pt>
                <c:pt idx="6">
                  <c:v>88.376721531310679</c:v>
                </c:pt>
                <c:pt idx="7">
                  <c:v>87.055611652799143</c:v>
                </c:pt>
                <c:pt idx="8">
                  <c:v>85.973839481245761</c:v>
                </c:pt>
                <c:pt idx="9">
                  <c:v>86.014525479906908</c:v>
                </c:pt>
                <c:pt idx="10">
                  <c:v>85.249827813975145</c:v>
                </c:pt>
                <c:pt idx="11">
                  <c:v>83.429444199450444</c:v>
                </c:pt>
                <c:pt idx="12">
                  <c:v>82.151327991171058</c:v>
                </c:pt>
                <c:pt idx="13">
                  <c:v>81.352459819227818</c:v>
                </c:pt>
                <c:pt idx="14">
                  <c:v>80.557679815015732</c:v>
                </c:pt>
                <c:pt idx="15">
                  <c:v>79.997917516074722</c:v>
                </c:pt>
                <c:pt idx="16">
                  <c:v>79.039297035663338</c:v>
                </c:pt>
                <c:pt idx="17">
                  <c:v>78.165861179653334</c:v>
                </c:pt>
                <c:pt idx="18">
                  <c:v>77.057875286510438</c:v>
                </c:pt>
                <c:pt idx="19">
                  <c:v>75.588730046367928</c:v>
                </c:pt>
                <c:pt idx="20">
                  <c:v>74.266012082071086</c:v>
                </c:pt>
                <c:pt idx="21">
                  <c:v>73.283986990858153</c:v>
                </c:pt>
                <c:pt idx="22">
                  <c:v>72.713638344021746</c:v>
                </c:pt>
                <c:pt idx="23">
                  <c:v>72.1259428354726</c:v>
                </c:pt>
                <c:pt idx="24">
                  <c:v>71.512017477865029</c:v>
                </c:pt>
                <c:pt idx="25">
                  <c:v>71.252722562031323</c:v>
                </c:pt>
                <c:pt idx="26">
                  <c:v>70.222286276936146</c:v>
                </c:pt>
                <c:pt idx="27">
                  <c:v>68.950415692856652</c:v>
                </c:pt>
                <c:pt idx="28">
                  <c:v>68.211566017302729</c:v>
                </c:pt>
                <c:pt idx="29">
                  <c:v>66.992904536821186</c:v>
                </c:pt>
                <c:pt idx="30">
                  <c:v>66.087887336326531</c:v>
                </c:pt>
                <c:pt idx="31">
                  <c:v>65.1494527187849</c:v>
                </c:pt>
                <c:pt idx="32">
                  <c:v>64.284511810008468</c:v>
                </c:pt>
                <c:pt idx="33">
                  <c:v>63.625434897267269</c:v>
                </c:pt>
                <c:pt idx="34">
                  <c:v>63.325910269726613</c:v>
                </c:pt>
                <c:pt idx="35">
                  <c:v>62.310229173334108</c:v>
                </c:pt>
                <c:pt idx="36">
                  <c:v>61.627150156555771</c:v>
                </c:pt>
                <c:pt idx="37">
                  <c:v>60.232394276233101</c:v>
                </c:pt>
                <c:pt idx="38">
                  <c:v>59.845870226123118</c:v>
                </c:pt>
                <c:pt idx="39">
                  <c:v>59.075503628837517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A2-8648-8C56-F241D5A7F9B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Sheet1!$W$43:$W$82</c:f>
              <c:numCache>
                <c:formatCode>General</c:formatCode>
                <c:ptCount val="40"/>
                <c:pt idx="0">
                  <c:v>90</c:v>
                </c:pt>
                <c:pt idx="1">
                  <c:v>91.556463911177531</c:v>
                </c:pt>
                <c:pt idx="2">
                  <c:v>91.760566307045394</c:v>
                </c:pt>
                <c:pt idx="3">
                  <c:v>91.724077894066454</c:v>
                </c:pt>
                <c:pt idx="4">
                  <c:v>91.663943213927254</c:v>
                </c:pt>
                <c:pt idx="5">
                  <c:v>91.29654584750385</c:v>
                </c:pt>
                <c:pt idx="6">
                  <c:v>91.10727846868933</c:v>
                </c:pt>
                <c:pt idx="7">
                  <c:v>90.808388347200832</c:v>
                </c:pt>
                <c:pt idx="8">
                  <c:v>89.668160518754235</c:v>
                </c:pt>
                <c:pt idx="9">
                  <c:v>88.92347452009308</c:v>
                </c:pt>
                <c:pt idx="10">
                  <c:v>88.898172186024851</c:v>
                </c:pt>
                <c:pt idx="11">
                  <c:v>88.398555800549559</c:v>
                </c:pt>
                <c:pt idx="12">
                  <c:v>87.866672008828942</c:v>
                </c:pt>
                <c:pt idx="13">
                  <c:v>86.735540180772176</c:v>
                </c:pt>
                <c:pt idx="14">
                  <c:v>84.982320184984289</c:v>
                </c:pt>
                <c:pt idx="15">
                  <c:v>84.234082483925306</c:v>
                </c:pt>
                <c:pt idx="16">
                  <c:v>83.400702964336659</c:v>
                </c:pt>
                <c:pt idx="17">
                  <c:v>82.256138820346635</c:v>
                </c:pt>
                <c:pt idx="18">
                  <c:v>81.282124713489537</c:v>
                </c:pt>
                <c:pt idx="19">
                  <c:v>80.203269953632073</c:v>
                </c:pt>
                <c:pt idx="20">
                  <c:v>79.563987917928898</c:v>
                </c:pt>
                <c:pt idx="21">
                  <c:v>78.448013009141846</c:v>
                </c:pt>
                <c:pt idx="22">
                  <c:v>77.72036165597828</c:v>
                </c:pt>
                <c:pt idx="23">
                  <c:v>77.310057164527379</c:v>
                </c:pt>
                <c:pt idx="24">
                  <c:v>76.539982522134935</c:v>
                </c:pt>
                <c:pt idx="25">
                  <c:v>75.871277437968644</c:v>
                </c:pt>
                <c:pt idx="26">
                  <c:v>75.371713723063849</c:v>
                </c:pt>
                <c:pt idx="27">
                  <c:v>74.281584307143348</c:v>
                </c:pt>
                <c:pt idx="28">
                  <c:v>73.744433982697259</c:v>
                </c:pt>
                <c:pt idx="29">
                  <c:v>72.817095463178816</c:v>
                </c:pt>
                <c:pt idx="30">
                  <c:v>71.96211266367348</c:v>
                </c:pt>
                <c:pt idx="31">
                  <c:v>71.400547281215111</c:v>
                </c:pt>
                <c:pt idx="32">
                  <c:v>70.637488189991501</c:v>
                </c:pt>
                <c:pt idx="33">
                  <c:v>70.210565102732716</c:v>
                </c:pt>
                <c:pt idx="34">
                  <c:v>69.356089730273368</c:v>
                </c:pt>
                <c:pt idx="35">
                  <c:v>68.6437708266659</c:v>
                </c:pt>
                <c:pt idx="36">
                  <c:v>68.216849843444223</c:v>
                </c:pt>
                <c:pt idx="37">
                  <c:v>67.375605723766895</c:v>
                </c:pt>
                <c:pt idx="38">
                  <c:v>67.080129773876891</c:v>
                </c:pt>
                <c:pt idx="39">
                  <c:v>66.39049637116247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A2-8648-8C56-F241D5A7F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345760"/>
        <c:axId val="671347472"/>
      </c:lineChart>
      <c:catAx>
        <c:axId val="671345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347472"/>
        <c:crosses val="autoZero"/>
        <c:auto val="1"/>
        <c:lblAlgn val="ctr"/>
        <c:lblOffset val="100"/>
        <c:noMultiLvlLbl val="0"/>
      </c:catAx>
      <c:valAx>
        <c:axId val="67134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34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Sheet1!$AD$43:$AD$82</c:f>
              <c:numCache>
                <c:formatCode>General</c:formatCode>
                <c:ptCount val="40"/>
                <c:pt idx="0">
                  <c:v>0</c:v>
                </c:pt>
                <c:pt idx="1">
                  <c:v>-0.77600000000000002</c:v>
                </c:pt>
                <c:pt idx="2">
                  <c:v>-1.048</c:v>
                </c:pt>
                <c:pt idx="3">
                  <c:v>-0.73399999999999987</c:v>
                </c:pt>
                <c:pt idx="4">
                  <c:v>-0.31500000000000006</c:v>
                </c:pt>
                <c:pt idx="5">
                  <c:v>6.1999999999999833E-2</c:v>
                </c:pt>
                <c:pt idx="6">
                  <c:v>-0.44799999999999984</c:v>
                </c:pt>
                <c:pt idx="7">
                  <c:v>-2.1019999999999994</c:v>
                </c:pt>
                <c:pt idx="8">
                  <c:v>-2.1869999999999998</c:v>
                </c:pt>
                <c:pt idx="9">
                  <c:v>-2.8899999999999997</c:v>
                </c:pt>
                <c:pt idx="10">
                  <c:v>-2.7759999999999998</c:v>
                </c:pt>
                <c:pt idx="11">
                  <c:v>-3.3329999999999997</c:v>
                </c:pt>
                <c:pt idx="12">
                  <c:v>-3.1920000000000002</c:v>
                </c:pt>
                <c:pt idx="13">
                  <c:v>-4.335</c:v>
                </c:pt>
                <c:pt idx="14">
                  <c:v>-5.1880000000000006</c:v>
                </c:pt>
                <c:pt idx="15">
                  <c:v>-6.1950000000000003</c:v>
                </c:pt>
                <c:pt idx="16">
                  <c:v>-6.6649999999999991</c:v>
                </c:pt>
                <c:pt idx="17">
                  <c:v>-7.7560000000000002</c:v>
                </c:pt>
                <c:pt idx="18">
                  <c:v>-8.0169999999999995</c:v>
                </c:pt>
                <c:pt idx="19">
                  <c:v>-8.7010000000000005</c:v>
                </c:pt>
                <c:pt idx="20">
                  <c:v>-9.4750000000000014</c:v>
                </c:pt>
                <c:pt idx="21">
                  <c:v>-11.289</c:v>
                </c:pt>
                <c:pt idx="22">
                  <c:v>-12.053000000000001</c:v>
                </c:pt>
                <c:pt idx="23">
                  <c:v>-12.878</c:v>
                </c:pt>
                <c:pt idx="24">
                  <c:v>-14.02</c:v>
                </c:pt>
                <c:pt idx="25">
                  <c:v>-15.535</c:v>
                </c:pt>
                <c:pt idx="26">
                  <c:v>-16.334</c:v>
                </c:pt>
                <c:pt idx="27">
                  <c:v>-17.040000000000003</c:v>
                </c:pt>
                <c:pt idx="28">
                  <c:v>-18.264000000000003</c:v>
                </c:pt>
                <c:pt idx="29">
                  <c:v>-19.145000000000003</c:v>
                </c:pt>
                <c:pt idx="30">
                  <c:v>-20.156999999999996</c:v>
                </c:pt>
                <c:pt idx="31">
                  <c:v>-21.188000000000006</c:v>
                </c:pt>
                <c:pt idx="32">
                  <c:v>-21.776000000000003</c:v>
                </c:pt>
                <c:pt idx="33">
                  <c:v>-22.725000000000001</c:v>
                </c:pt>
                <c:pt idx="34">
                  <c:v>-23.838999999999995</c:v>
                </c:pt>
                <c:pt idx="35">
                  <c:v>-24.198999999999998</c:v>
                </c:pt>
                <c:pt idx="36">
                  <c:v>-25.024000000000001</c:v>
                </c:pt>
                <c:pt idx="37">
                  <c:v>-26.07</c:v>
                </c:pt>
                <c:pt idx="38">
                  <c:v>-27.042000000000002</c:v>
                </c:pt>
                <c:pt idx="39">
                  <c:v>-27.968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DA-704E-80D2-F908D293306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Sheet1!$AF$43:$AF$82</c:f>
              <c:numCache>
                <c:formatCode>General</c:formatCode>
                <c:ptCount val="40"/>
                <c:pt idx="0">
                  <c:v>0</c:v>
                </c:pt>
                <c:pt idx="1">
                  <c:v>-2.8996010826057805</c:v>
                </c:pt>
                <c:pt idx="2">
                  <c:v>-4.8705246409146925</c:v>
                </c:pt>
                <c:pt idx="3">
                  <c:v>-5.3281638143095318</c:v>
                </c:pt>
                <c:pt idx="4">
                  <c:v>-4.9743205399738519</c:v>
                </c:pt>
                <c:pt idx="5">
                  <c:v>-4.8684108961244004</c:v>
                </c:pt>
                <c:pt idx="6">
                  <c:v>-4.8964264858686564</c:v>
                </c:pt>
                <c:pt idx="7">
                  <c:v>-6.8819420495975789</c:v>
                </c:pt>
                <c:pt idx="8">
                  <c:v>-7.1121931454692984</c:v>
                </c:pt>
                <c:pt idx="9">
                  <c:v>-7.6425911439269969</c:v>
                </c:pt>
                <c:pt idx="10">
                  <c:v>-7.6510822755723815</c:v>
                </c:pt>
                <c:pt idx="11">
                  <c:v>-8.2686097259901814</c:v>
                </c:pt>
                <c:pt idx="12">
                  <c:v>-8.3247230531777401</c:v>
                </c:pt>
                <c:pt idx="13">
                  <c:v>-8.9673427362165015</c:v>
                </c:pt>
                <c:pt idx="14">
                  <c:v>-10.013123702474143</c:v>
                </c:pt>
                <c:pt idx="15">
                  <c:v>-11.148269190522335</c:v>
                </c:pt>
                <c:pt idx="16">
                  <c:v>-12.074671211286525</c:v>
                </c:pt>
                <c:pt idx="17">
                  <c:v>-13.759350704161431</c:v>
                </c:pt>
                <c:pt idx="18">
                  <c:v>-13.641067024114607</c:v>
                </c:pt>
                <c:pt idx="19">
                  <c:v>-14.131897497164822</c:v>
                </c:pt>
                <c:pt idx="20">
                  <c:v>-15.269625631469982</c:v>
                </c:pt>
                <c:pt idx="21">
                  <c:v>-17.571771057550958</c:v>
                </c:pt>
                <c:pt idx="22">
                  <c:v>-18.500393808022999</c:v>
                </c:pt>
                <c:pt idx="23">
                  <c:v>-19.449115979713373</c:v>
                </c:pt>
                <c:pt idx="24">
                  <c:v>-20.667339028781033</c:v>
                </c:pt>
                <c:pt idx="25">
                  <c:v>-23.275095588557029</c:v>
                </c:pt>
                <c:pt idx="26">
                  <c:v>-24.633152795787183</c:v>
                </c:pt>
                <c:pt idx="27">
                  <c:v>-25.379082786760449</c:v>
                </c:pt>
                <c:pt idx="28">
                  <c:v>-26.58339192568517</c:v>
                </c:pt>
                <c:pt idx="29">
                  <c:v>-27.528382936844636</c:v>
                </c:pt>
                <c:pt idx="30">
                  <c:v>-28.529471153074624</c:v>
                </c:pt>
                <c:pt idx="31">
                  <c:v>-29.819196928311214</c:v>
                </c:pt>
                <c:pt idx="32">
                  <c:v>-30.327517011660042</c:v>
                </c:pt>
                <c:pt idx="33">
                  <c:v>-31.561525587557338</c:v>
                </c:pt>
                <c:pt idx="34">
                  <c:v>-33.032338602164316</c:v>
                </c:pt>
                <c:pt idx="35">
                  <c:v>-33.465359792223339</c:v>
                </c:pt>
                <c:pt idx="36">
                  <c:v>-34.453683463936869</c:v>
                </c:pt>
                <c:pt idx="37">
                  <c:v>-36.211464182169266</c:v>
                </c:pt>
                <c:pt idx="38">
                  <c:v>-37.264194889300647</c:v>
                </c:pt>
                <c:pt idx="39">
                  <c:v>-38.715420629432693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DA-704E-80D2-F908D293306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Sheet1!$AG$43:$AG$82</c:f>
              <c:numCache>
                <c:formatCode>General</c:formatCode>
                <c:ptCount val="40"/>
                <c:pt idx="0">
                  <c:v>0</c:v>
                </c:pt>
                <c:pt idx="1">
                  <c:v>1.3476010826057807</c:v>
                </c:pt>
                <c:pt idx="2">
                  <c:v>2.7745246409146924</c:v>
                </c:pt>
                <c:pt idx="3">
                  <c:v>3.8601638143095318</c:v>
                </c:pt>
                <c:pt idx="4">
                  <c:v>4.3443205399738511</c:v>
                </c:pt>
                <c:pt idx="5">
                  <c:v>4.9924108961244009</c:v>
                </c:pt>
                <c:pt idx="6">
                  <c:v>4.0004264858686573</c:v>
                </c:pt>
                <c:pt idx="7">
                  <c:v>2.6779420495975801</c:v>
                </c:pt>
                <c:pt idx="8">
                  <c:v>2.7381931454692992</c:v>
                </c:pt>
                <c:pt idx="9">
                  <c:v>1.8625911439269975</c:v>
                </c:pt>
                <c:pt idx="10">
                  <c:v>2.0990822755723819</c:v>
                </c:pt>
                <c:pt idx="11">
                  <c:v>1.6026097259901824</c:v>
                </c:pt>
                <c:pt idx="12">
                  <c:v>1.9407230531777397</c:v>
                </c:pt>
                <c:pt idx="13">
                  <c:v>0.29734273621650065</c:v>
                </c:pt>
                <c:pt idx="14">
                  <c:v>-0.36287629752585815</c:v>
                </c:pt>
                <c:pt idx="15">
                  <c:v>-1.2417308094776667</c:v>
                </c:pt>
                <c:pt idx="16">
                  <c:v>-1.2553287887134745</c:v>
                </c:pt>
                <c:pt idx="17">
                  <c:v>-1.7526492958385695</c:v>
                </c:pt>
                <c:pt idx="18">
                  <c:v>-2.3929329758853921</c:v>
                </c:pt>
                <c:pt idx="19">
                  <c:v>-3.2701025028351802</c:v>
                </c:pt>
                <c:pt idx="20">
                  <c:v>-3.6803743685300221</c:v>
                </c:pt>
                <c:pt idx="21">
                  <c:v>-5.0062289424490416</c:v>
                </c:pt>
                <c:pt idx="22">
                  <c:v>-5.6056061919770022</c:v>
                </c:pt>
                <c:pt idx="23">
                  <c:v>-6.3068840202866285</c:v>
                </c:pt>
                <c:pt idx="24">
                  <c:v>-7.3726609712189672</c:v>
                </c:pt>
                <c:pt idx="25">
                  <c:v>-7.7949044114429711</c:v>
                </c:pt>
                <c:pt idx="26">
                  <c:v>-8.0348472042128147</c:v>
                </c:pt>
                <c:pt idx="27">
                  <c:v>-8.7009172132395562</c:v>
                </c:pt>
                <c:pt idx="28">
                  <c:v>-9.9446080743148375</c:v>
                </c:pt>
                <c:pt idx="29">
                  <c:v>-10.76161706315537</c:v>
                </c:pt>
                <c:pt idx="30">
                  <c:v>-11.784528846925371</c:v>
                </c:pt>
                <c:pt idx="31">
                  <c:v>-12.556803071688799</c:v>
                </c:pt>
                <c:pt idx="32">
                  <c:v>-13.224482988339963</c:v>
                </c:pt>
                <c:pt idx="33">
                  <c:v>-13.888474412442665</c:v>
                </c:pt>
                <c:pt idx="34">
                  <c:v>-14.645661397835676</c:v>
                </c:pt>
                <c:pt idx="35">
                  <c:v>-14.932640207776656</c:v>
                </c:pt>
                <c:pt idx="36">
                  <c:v>-15.594316536063134</c:v>
                </c:pt>
                <c:pt idx="37">
                  <c:v>-15.928535817830731</c:v>
                </c:pt>
                <c:pt idx="38">
                  <c:v>-16.819805110699356</c:v>
                </c:pt>
                <c:pt idx="39">
                  <c:v>-17.220579370567307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DA-704E-80D2-F908D2933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0854559"/>
        <c:axId val="1400799903"/>
      </c:lineChart>
      <c:catAx>
        <c:axId val="14008545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99903"/>
        <c:crosses val="autoZero"/>
        <c:auto val="1"/>
        <c:lblAlgn val="ctr"/>
        <c:lblOffset val="100"/>
        <c:noMultiLvlLbl val="0"/>
      </c:catAx>
      <c:valAx>
        <c:axId val="140079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85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Sheet1!$AN$43:$AN$82</c:f>
              <c:numCache>
                <c:formatCode>General</c:formatCode>
                <c:ptCount val="40"/>
                <c:pt idx="0">
                  <c:v>0</c:v>
                </c:pt>
                <c:pt idx="1">
                  <c:v>-0.56300000000000006</c:v>
                </c:pt>
                <c:pt idx="2">
                  <c:v>-1.0010000000000001</c:v>
                </c:pt>
                <c:pt idx="3">
                  <c:v>-0.28999999999999992</c:v>
                </c:pt>
                <c:pt idx="4">
                  <c:v>0.66399999999999992</c:v>
                </c:pt>
                <c:pt idx="5">
                  <c:v>0.84499999999999997</c:v>
                </c:pt>
                <c:pt idx="6">
                  <c:v>0.14599999999999982</c:v>
                </c:pt>
                <c:pt idx="7">
                  <c:v>0.28000000000000014</c:v>
                </c:pt>
                <c:pt idx="8">
                  <c:v>1.1849999999999998</c:v>
                </c:pt>
                <c:pt idx="9">
                  <c:v>0.91099999999999992</c:v>
                </c:pt>
                <c:pt idx="10">
                  <c:v>0.66800000000000015</c:v>
                </c:pt>
                <c:pt idx="11">
                  <c:v>0.59300000000000019</c:v>
                </c:pt>
                <c:pt idx="12">
                  <c:v>0.7899999999999997</c:v>
                </c:pt>
                <c:pt idx="13">
                  <c:v>1.6580000000000006</c:v>
                </c:pt>
                <c:pt idx="14">
                  <c:v>2.4430000000000005</c:v>
                </c:pt>
                <c:pt idx="15">
                  <c:v>2.1940000000000004</c:v>
                </c:pt>
                <c:pt idx="16">
                  <c:v>2.2989999999999999</c:v>
                </c:pt>
                <c:pt idx="17">
                  <c:v>1.9759999999999998</c:v>
                </c:pt>
                <c:pt idx="18">
                  <c:v>2.7969999999999997</c:v>
                </c:pt>
                <c:pt idx="19">
                  <c:v>2.7629999999999995</c:v>
                </c:pt>
                <c:pt idx="20">
                  <c:v>3.0640000000000005</c:v>
                </c:pt>
                <c:pt idx="21">
                  <c:v>3.6109999999999998</c:v>
                </c:pt>
                <c:pt idx="22">
                  <c:v>3.8289999999999993</c:v>
                </c:pt>
                <c:pt idx="23">
                  <c:v>3.6739999999999995</c:v>
                </c:pt>
                <c:pt idx="24">
                  <c:v>4.0150000000000006</c:v>
                </c:pt>
                <c:pt idx="25">
                  <c:v>4.3629999999999995</c:v>
                </c:pt>
                <c:pt idx="26">
                  <c:v>4.694</c:v>
                </c:pt>
                <c:pt idx="27">
                  <c:v>5.1150000000000002</c:v>
                </c:pt>
                <c:pt idx="28">
                  <c:v>5.2299999999999995</c:v>
                </c:pt>
                <c:pt idx="29">
                  <c:v>5.6579999999999995</c:v>
                </c:pt>
                <c:pt idx="30">
                  <c:v>5.7009999999999996</c:v>
                </c:pt>
                <c:pt idx="31">
                  <c:v>6.048</c:v>
                </c:pt>
                <c:pt idx="32">
                  <c:v>6.1180000000000003</c:v>
                </c:pt>
                <c:pt idx="33">
                  <c:v>6.4870000000000001</c:v>
                </c:pt>
                <c:pt idx="34">
                  <c:v>6.5240000000000009</c:v>
                </c:pt>
                <c:pt idx="35">
                  <c:v>6.65</c:v>
                </c:pt>
                <c:pt idx="36">
                  <c:v>6.8370000000000015</c:v>
                </c:pt>
                <c:pt idx="37">
                  <c:v>6.62</c:v>
                </c:pt>
                <c:pt idx="38">
                  <c:v>6.431</c:v>
                </c:pt>
                <c:pt idx="39">
                  <c:v>6.0730000000000004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6F-9443-9719-61691CC2980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Sheet1!$AP$43:$AP$82</c:f>
              <c:numCache>
                <c:formatCode>General</c:formatCode>
                <c:ptCount val="40"/>
                <c:pt idx="0">
                  <c:v>0</c:v>
                </c:pt>
                <c:pt idx="1">
                  <c:v>-2.0233894105340529</c:v>
                </c:pt>
                <c:pt idx="2">
                  <c:v>-3.1869823558909776</c:v>
                </c:pt>
                <c:pt idx="3">
                  <c:v>-2.0942838288670411</c:v>
                </c:pt>
                <c:pt idx="4">
                  <c:v>-1.9704781836763543</c:v>
                </c:pt>
                <c:pt idx="5">
                  <c:v>-1.9084760268108785</c:v>
                </c:pt>
                <c:pt idx="6">
                  <c:v>-2.77120642088359</c:v>
                </c:pt>
                <c:pt idx="7">
                  <c:v>-2.5696270071712886</c:v>
                </c:pt>
                <c:pt idx="8">
                  <c:v>-1.7608889835007548</c:v>
                </c:pt>
                <c:pt idx="9">
                  <c:v>-2.3741591254948702</c:v>
                </c:pt>
                <c:pt idx="10">
                  <c:v>-3.194567004490378</c:v>
                </c:pt>
                <c:pt idx="11">
                  <c:v>-4.068208990351466</c:v>
                </c:pt>
                <c:pt idx="12">
                  <c:v>-4.3830989441747796</c:v>
                </c:pt>
                <c:pt idx="13">
                  <c:v>-3.5354557735844603</c:v>
                </c:pt>
                <c:pt idx="14">
                  <c:v>-2.6772546971545594</c:v>
                </c:pt>
                <c:pt idx="15">
                  <c:v>-3.1904546633846258</c:v>
                </c:pt>
                <c:pt idx="16">
                  <c:v>-3.2915710428104838</c:v>
                </c:pt>
                <c:pt idx="17">
                  <c:v>-4.1540015852671512</c:v>
                </c:pt>
                <c:pt idx="18">
                  <c:v>-3.2719568131745493</c:v>
                </c:pt>
                <c:pt idx="19">
                  <c:v>-3.2183535868434032</c:v>
                </c:pt>
                <c:pt idx="20">
                  <c:v>-2.7657502608449875</c:v>
                </c:pt>
                <c:pt idx="21">
                  <c:v>-2.946949931549578</c:v>
                </c:pt>
                <c:pt idx="22">
                  <c:v>-3.2084441942638366</c:v>
                </c:pt>
                <c:pt idx="23">
                  <c:v>-3.3939327223610603</c:v>
                </c:pt>
                <c:pt idx="24">
                  <c:v>-3.3193644924121095</c:v>
                </c:pt>
                <c:pt idx="25">
                  <c:v>-3.422730899719336</c:v>
                </c:pt>
                <c:pt idx="26">
                  <c:v>-3.3065756315571848</c:v>
                </c:pt>
                <c:pt idx="27">
                  <c:v>-3.1471641244087269</c:v>
                </c:pt>
                <c:pt idx="28">
                  <c:v>-3.2772178818276947</c:v>
                </c:pt>
                <c:pt idx="29">
                  <c:v>-2.8408902764851209</c:v>
                </c:pt>
                <c:pt idx="30">
                  <c:v>-3.1999268468102064</c:v>
                </c:pt>
                <c:pt idx="31">
                  <c:v>-3.1691861921424902</c:v>
                </c:pt>
                <c:pt idx="32">
                  <c:v>-3.2128117905833289</c:v>
                </c:pt>
                <c:pt idx="33">
                  <c:v>-2.9994490673662142</c:v>
                </c:pt>
                <c:pt idx="34">
                  <c:v>-2.8795000886454769</c:v>
                </c:pt>
                <c:pt idx="35">
                  <c:v>-3.3114164188744883</c:v>
                </c:pt>
                <c:pt idx="36">
                  <c:v>-3.422529068169851</c:v>
                </c:pt>
                <c:pt idx="37">
                  <c:v>-4.2422391287738934</c:v>
                </c:pt>
                <c:pt idx="38">
                  <c:v>-4.7852912841317083</c:v>
                </c:pt>
                <c:pt idx="39">
                  <c:v>-5.5724052570941254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6F-9443-9719-61691CC2980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Sheet1!$AQ$43:$AQ$82</c:f>
              <c:numCache>
                <c:formatCode>General</c:formatCode>
                <c:ptCount val="40"/>
                <c:pt idx="0">
                  <c:v>0</c:v>
                </c:pt>
                <c:pt idx="1">
                  <c:v>0.89738941053405286</c:v>
                </c:pt>
                <c:pt idx="2">
                  <c:v>1.1849823558909771</c:v>
                </c:pt>
                <c:pt idx="3">
                  <c:v>1.5142838288670415</c:v>
                </c:pt>
                <c:pt idx="4">
                  <c:v>3.2984781836763544</c:v>
                </c:pt>
                <c:pt idx="5">
                  <c:v>3.5984760268108786</c:v>
                </c:pt>
                <c:pt idx="6">
                  <c:v>3.0632064208835899</c:v>
                </c:pt>
                <c:pt idx="7">
                  <c:v>3.1296270071712891</c:v>
                </c:pt>
                <c:pt idx="8">
                  <c:v>4.1308889835007543</c:v>
                </c:pt>
                <c:pt idx="9">
                  <c:v>4.1961591254948702</c:v>
                </c:pt>
                <c:pt idx="10">
                  <c:v>4.5305670044903783</c:v>
                </c:pt>
                <c:pt idx="11">
                  <c:v>5.2542089903514659</c:v>
                </c:pt>
                <c:pt idx="12">
                  <c:v>5.9630989441747797</c:v>
                </c:pt>
                <c:pt idx="13">
                  <c:v>6.851455773584461</c:v>
                </c:pt>
                <c:pt idx="14">
                  <c:v>7.5632546971545604</c:v>
                </c:pt>
                <c:pt idx="15">
                  <c:v>7.5784546633846261</c:v>
                </c:pt>
                <c:pt idx="16">
                  <c:v>7.8895710428104842</c:v>
                </c:pt>
                <c:pt idx="17">
                  <c:v>8.1060015852671512</c:v>
                </c:pt>
                <c:pt idx="18">
                  <c:v>8.8659568131745488</c:v>
                </c:pt>
                <c:pt idx="19">
                  <c:v>8.7443535868434026</c:v>
                </c:pt>
                <c:pt idx="20">
                  <c:v>8.893750260844989</c:v>
                </c:pt>
                <c:pt idx="21">
                  <c:v>10.168949931549577</c:v>
                </c:pt>
                <c:pt idx="22">
                  <c:v>10.866444194263835</c:v>
                </c:pt>
                <c:pt idx="23">
                  <c:v>10.74193272236106</c:v>
                </c:pt>
                <c:pt idx="24">
                  <c:v>11.349364492412111</c:v>
                </c:pt>
                <c:pt idx="25">
                  <c:v>12.148730899719336</c:v>
                </c:pt>
                <c:pt idx="26">
                  <c:v>12.694575631557186</c:v>
                </c:pt>
                <c:pt idx="27">
                  <c:v>13.377164124408727</c:v>
                </c:pt>
                <c:pt idx="28">
                  <c:v>13.737217881827693</c:v>
                </c:pt>
                <c:pt idx="29">
                  <c:v>14.15689027648512</c:v>
                </c:pt>
                <c:pt idx="30">
                  <c:v>14.601926846810205</c:v>
                </c:pt>
                <c:pt idx="31">
                  <c:v>15.26518619214249</c:v>
                </c:pt>
                <c:pt idx="32">
                  <c:v>15.44881179058333</c:v>
                </c:pt>
                <c:pt idx="33">
                  <c:v>15.973449067366214</c:v>
                </c:pt>
                <c:pt idx="34">
                  <c:v>15.927500088645479</c:v>
                </c:pt>
                <c:pt idx="35">
                  <c:v>16.611416418874491</c:v>
                </c:pt>
                <c:pt idx="36">
                  <c:v>17.096529068169854</c:v>
                </c:pt>
                <c:pt idx="37">
                  <c:v>17.482239128773895</c:v>
                </c:pt>
                <c:pt idx="38">
                  <c:v>17.647291284131708</c:v>
                </c:pt>
                <c:pt idx="39">
                  <c:v>17.718405257094126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6F-9443-9719-61691CC29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2115503"/>
        <c:axId val="1782096879"/>
      </c:lineChart>
      <c:catAx>
        <c:axId val="1782115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096879"/>
        <c:crosses val="autoZero"/>
        <c:auto val="1"/>
        <c:lblAlgn val="ctr"/>
        <c:lblOffset val="100"/>
        <c:noMultiLvlLbl val="0"/>
      </c:catAx>
      <c:valAx>
        <c:axId val="178209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11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565150</xdr:colOff>
      <xdr:row>55</xdr:row>
      <xdr:rowOff>139700</xdr:rowOff>
    </xdr:from>
    <xdr:to>
      <xdr:col>12</xdr:col>
      <xdr:colOff>50800</xdr:colOff>
      <xdr:row>76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E13A40-F514-B4AD-3DAB-CC05CB266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336550</xdr:colOff>
      <xdr:row>50</xdr:row>
      <xdr:rowOff>12700</xdr:rowOff>
    </xdr:from>
    <xdr:to>
      <xdr:col>21</xdr:col>
      <xdr:colOff>196850</xdr:colOff>
      <xdr:row>64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5A91AC-493C-3C91-B6DC-B136F8AD38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133350</xdr:colOff>
      <xdr:row>52</xdr:row>
      <xdr:rowOff>38100</xdr:rowOff>
    </xdr:from>
    <xdr:to>
      <xdr:col>30</xdr:col>
      <xdr:colOff>666750</xdr:colOff>
      <xdr:row>66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5DADA1-2827-C0BF-FEC9-48DDC961A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298450</xdr:colOff>
      <xdr:row>51</xdr:row>
      <xdr:rowOff>88900</xdr:rowOff>
    </xdr:from>
    <xdr:to>
      <xdr:col>41</xdr:col>
      <xdr:colOff>158750</xdr:colOff>
      <xdr:row>65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E2C814-B430-6F46-F2C2-977779F72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2"/>
  <sheetViews>
    <sheetView tabSelected="1" topLeftCell="A40" workbookViewId="0">
      <selection activeCell="N40" sqref="N40"/>
    </sheetView>
  </sheetViews>
  <sheetFormatPr baseColWidth="10" defaultColWidth="8.83203125" defaultRowHeight="15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>
        <v>0</v>
      </c>
      <c r="B2">
        <v>90</v>
      </c>
      <c r="C2">
        <v>90</v>
      </c>
      <c r="D2">
        <v>90</v>
      </c>
      <c r="E2">
        <v>90</v>
      </c>
      <c r="F2">
        <v>90</v>
      </c>
      <c r="G2">
        <v>90</v>
      </c>
      <c r="H2">
        <v>90</v>
      </c>
      <c r="I2">
        <v>90</v>
      </c>
      <c r="J2">
        <v>90</v>
      </c>
      <c r="K2">
        <v>90</v>
      </c>
      <c r="L2">
        <v>90</v>
      </c>
      <c r="M2">
        <v>90</v>
      </c>
      <c r="N2">
        <v>90</v>
      </c>
      <c r="O2">
        <v>90</v>
      </c>
      <c r="P2">
        <v>90</v>
      </c>
      <c r="Q2">
        <v>90</v>
      </c>
      <c r="R2">
        <v>90</v>
      </c>
      <c r="S2">
        <v>90</v>
      </c>
      <c r="T2">
        <v>90</v>
      </c>
      <c r="U2">
        <v>90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2">
      <c r="A3">
        <v>5</v>
      </c>
      <c r="B3">
        <v>91.47</v>
      </c>
      <c r="C3">
        <v>93.79</v>
      </c>
      <c r="D3">
        <v>91.25</v>
      </c>
      <c r="E3">
        <v>94.48</v>
      </c>
      <c r="F3">
        <v>92.01</v>
      </c>
      <c r="G3">
        <v>91.51</v>
      </c>
      <c r="H3">
        <v>91.02</v>
      </c>
      <c r="I3">
        <v>88.86</v>
      </c>
      <c r="J3">
        <v>91.27</v>
      </c>
      <c r="K3">
        <v>90.17</v>
      </c>
      <c r="L3">
        <v>89.17</v>
      </c>
      <c r="M3">
        <v>92.02</v>
      </c>
      <c r="N3">
        <v>91.24</v>
      </c>
      <c r="O3">
        <v>90.38</v>
      </c>
      <c r="P3">
        <v>91.44</v>
      </c>
      <c r="Q3">
        <v>91.47</v>
      </c>
      <c r="R3">
        <v>90.09</v>
      </c>
      <c r="S3">
        <v>92.2</v>
      </c>
      <c r="T3">
        <v>90.83</v>
      </c>
      <c r="U3">
        <v>91.05</v>
      </c>
      <c r="V3">
        <v>0.97</v>
      </c>
      <c r="W3">
        <v>1.1599999999999999</v>
      </c>
      <c r="X3">
        <v>-1.34</v>
      </c>
      <c r="Y3">
        <v>1.49</v>
      </c>
      <c r="Z3">
        <v>0.19</v>
      </c>
      <c r="AA3">
        <v>0.15</v>
      </c>
      <c r="AB3">
        <v>-7.29</v>
      </c>
      <c r="AC3">
        <v>3.69</v>
      </c>
      <c r="AD3">
        <v>-6.18</v>
      </c>
      <c r="AE3">
        <v>-0.6</v>
      </c>
      <c r="AF3">
        <v>-3.93</v>
      </c>
      <c r="AG3">
        <v>0.83</v>
      </c>
      <c r="AH3">
        <v>-2.77</v>
      </c>
      <c r="AI3">
        <v>-3.02</v>
      </c>
      <c r="AJ3">
        <v>-1.43</v>
      </c>
      <c r="AK3">
        <v>1.56</v>
      </c>
      <c r="AL3">
        <v>3.42</v>
      </c>
      <c r="AM3">
        <v>0.68</v>
      </c>
      <c r="AN3">
        <v>0.76</v>
      </c>
      <c r="AO3">
        <v>-1.73</v>
      </c>
    </row>
    <row r="4" spans="1:41" x14ac:dyDescent="0.2">
      <c r="A4">
        <v>10</v>
      </c>
      <c r="B4">
        <v>91.72</v>
      </c>
      <c r="C4">
        <v>93.28</v>
      </c>
      <c r="D4">
        <v>90</v>
      </c>
      <c r="E4">
        <v>92.85</v>
      </c>
      <c r="F4">
        <v>92.48</v>
      </c>
      <c r="G4">
        <v>93.95</v>
      </c>
      <c r="H4">
        <v>81.599999999999994</v>
      </c>
      <c r="I4">
        <v>86.05</v>
      </c>
      <c r="J4">
        <v>91.8</v>
      </c>
      <c r="K4">
        <v>90.23</v>
      </c>
      <c r="L4">
        <v>91.43</v>
      </c>
      <c r="M4">
        <v>93.95</v>
      </c>
      <c r="N4">
        <v>89.32</v>
      </c>
      <c r="O4">
        <v>89.31</v>
      </c>
      <c r="P4">
        <v>91.84</v>
      </c>
      <c r="Q4">
        <v>89.52</v>
      </c>
      <c r="R4">
        <v>87.02</v>
      </c>
      <c r="S4">
        <v>91.08</v>
      </c>
      <c r="T4">
        <v>92.64</v>
      </c>
      <c r="U4">
        <v>88.6</v>
      </c>
      <c r="V4">
        <v>1.24</v>
      </c>
      <c r="W4">
        <v>3.16</v>
      </c>
      <c r="X4">
        <v>-3.91</v>
      </c>
      <c r="Y4">
        <v>6.39</v>
      </c>
      <c r="Z4">
        <v>3.53</v>
      </c>
      <c r="AA4">
        <v>-2.34</v>
      </c>
      <c r="AB4">
        <v>-11.84</v>
      </c>
      <c r="AC4">
        <v>6.08</v>
      </c>
      <c r="AD4">
        <v>-8.49</v>
      </c>
      <c r="AE4">
        <v>-4.3</v>
      </c>
      <c r="AF4">
        <v>-2.61</v>
      </c>
      <c r="AG4">
        <v>-0.71</v>
      </c>
      <c r="AH4">
        <v>-3.99</v>
      </c>
      <c r="AI4">
        <v>-5.2</v>
      </c>
      <c r="AJ4">
        <v>-1.25</v>
      </c>
      <c r="AK4">
        <v>3.17</v>
      </c>
      <c r="AL4">
        <v>4.84</v>
      </c>
      <c r="AM4">
        <v>-2.34</v>
      </c>
      <c r="AN4">
        <v>2.87</v>
      </c>
      <c r="AO4">
        <v>-4.79</v>
      </c>
    </row>
    <row r="5" spans="1:41" x14ac:dyDescent="0.2">
      <c r="A5">
        <v>15</v>
      </c>
      <c r="B5">
        <v>91.55</v>
      </c>
      <c r="C5">
        <v>89.22</v>
      </c>
      <c r="D5">
        <v>91.03</v>
      </c>
      <c r="E5">
        <v>91.26</v>
      </c>
      <c r="F5">
        <v>90.05</v>
      </c>
      <c r="G5">
        <v>93.66</v>
      </c>
      <c r="H5">
        <v>79.33</v>
      </c>
      <c r="I5">
        <v>86.35</v>
      </c>
      <c r="J5">
        <v>92.77</v>
      </c>
      <c r="K5">
        <v>89.91</v>
      </c>
      <c r="L5">
        <v>90.48</v>
      </c>
      <c r="M5">
        <v>95.4</v>
      </c>
      <c r="N5">
        <v>87.47</v>
      </c>
      <c r="O5">
        <v>90.71</v>
      </c>
      <c r="P5">
        <v>89.98</v>
      </c>
      <c r="Q5">
        <v>90.5</v>
      </c>
      <c r="R5">
        <v>87.92</v>
      </c>
      <c r="S5">
        <v>91.26</v>
      </c>
      <c r="T5">
        <v>91.35</v>
      </c>
      <c r="U5">
        <v>85.11</v>
      </c>
      <c r="V5">
        <v>1.18</v>
      </c>
      <c r="W5">
        <v>4.8499999999999996</v>
      </c>
      <c r="X5">
        <v>-4.8600000000000003</v>
      </c>
      <c r="Y5">
        <v>1.83</v>
      </c>
      <c r="Z5">
        <v>9.09</v>
      </c>
      <c r="AA5">
        <v>-4.0599999999999996</v>
      </c>
      <c r="AB5">
        <v>-15.74</v>
      </c>
      <c r="AC5">
        <v>8.31</v>
      </c>
      <c r="AD5">
        <v>-3.45</v>
      </c>
      <c r="AE5">
        <v>-4.49</v>
      </c>
      <c r="AF5">
        <v>-0.28999999999999998</v>
      </c>
      <c r="AG5">
        <v>-3.17</v>
      </c>
      <c r="AH5">
        <v>-3.51</v>
      </c>
      <c r="AI5">
        <v>-0.1</v>
      </c>
      <c r="AJ5">
        <v>2.27</v>
      </c>
      <c r="AK5">
        <v>3.38</v>
      </c>
      <c r="AL5">
        <v>2.71</v>
      </c>
      <c r="AM5">
        <v>-1.1499999999999999</v>
      </c>
      <c r="AN5">
        <v>2</v>
      </c>
      <c r="AO5">
        <v>-5.04</v>
      </c>
    </row>
    <row r="6" spans="1:41" x14ac:dyDescent="0.2">
      <c r="A6">
        <v>20</v>
      </c>
      <c r="B6">
        <v>91.14</v>
      </c>
      <c r="C6">
        <v>89.68</v>
      </c>
      <c r="D6">
        <v>90.27</v>
      </c>
      <c r="E6">
        <v>89.19</v>
      </c>
      <c r="F6">
        <v>87.98</v>
      </c>
      <c r="G6">
        <v>92.91</v>
      </c>
      <c r="H6">
        <v>79.62</v>
      </c>
      <c r="I6">
        <v>87.3</v>
      </c>
      <c r="J6">
        <v>90.64</v>
      </c>
      <c r="K6">
        <v>92.18</v>
      </c>
      <c r="L6">
        <v>91.05</v>
      </c>
      <c r="M6">
        <v>93.34</v>
      </c>
      <c r="N6">
        <v>86.31</v>
      </c>
      <c r="O6">
        <v>91.1</v>
      </c>
      <c r="P6">
        <v>88.79</v>
      </c>
      <c r="Q6">
        <v>90.5</v>
      </c>
      <c r="R6">
        <v>88.34</v>
      </c>
      <c r="S6">
        <v>92.05</v>
      </c>
      <c r="T6">
        <v>92.88</v>
      </c>
      <c r="U6">
        <v>88.12</v>
      </c>
      <c r="V6">
        <v>3.01</v>
      </c>
      <c r="W6">
        <v>1.54</v>
      </c>
      <c r="X6">
        <v>-6.57</v>
      </c>
      <c r="Y6">
        <v>0.2</v>
      </c>
      <c r="Z6">
        <v>10.24</v>
      </c>
      <c r="AA6">
        <v>-3</v>
      </c>
      <c r="AB6">
        <v>-15.85</v>
      </c>
      <c r="AC6">
        <v>8.69</v>
      </c>
      <c r="AD6">
        <v>1.88</v>
      </c>
      <c r="AE6">
        <v>-3.29</v>
      </c>
      <c r="AF6">
        <v>-0.48</v>
      </c>
      <c r="AG6">
        <v>-4.8</v>
      </c>
      <c r="AH6">
        <v>-3.75</v>
      </c>
      <c r="AI6">
        <v>0.28000000000000003</v>
      </c>
      <c r="AJ6">
        <v>4.7</v>
      </c>
      <c r="AK6">
        <v>6.17</v>
      </c>
      <c r="AL6">
        <v>2.2200000000000002</v>
      </c>
      <c r="AM6">
        <v>4.0999999999999996</v>
      </c>
      <c r="AN6">
        <v>3.9</v>
      </c>
      <c r="AO6">
        <v>-5.7</v>
      </c>
    </row>
    <row r="7" spans="1:41" x14ac:dyDescent="0.2">
      <c r="A7">
        <v>25</v>
      </c>
      <c r="B7">
        <v>90.7</v>
      </c>
      <c r="C7">
        <v>88.56</v>
      </c>
      <c r="D7">
        <v>87.81</v>
      </c>
      <c r="E7">
        <v>89.94</v>
      </c>
      <c r="F7">
        <v>85.68</v>
      </c>
      <c r="G7">
        <v>95.15</v>
      </c>
      <c r="H7">
        <v>76.94</v>
      </c>
      <c r="I7">
        <v>90.03</v>
      </c>
      <c r="J7">
        <v>90.99</v>
      </c>
      <c r="K7">
        <v>92.65</v>
      </c>
      <c r="L7">
        <v>89.97</v>
      </c>
      <c r="M7">
        <v>90.68</v>
      </c>
      <c r="N7">
        <v>87.01</v>
      </c>
      <c r="O7">
        <v>90.89</v>
      </c>
      <c r="P7">
        <v>92.51</v>
      </c>
      <c r="Q7">
        <v>89.33</v>
      </c>
      <c r="R7">
        <v>89.05</v>
      </c>
      <c r="S7">
        <v>92.31</v>
      </c>
      <c r="T7">
        <v>91.7</v>
      </c>
      <c r="U7">
        <v>88.75</v>
      </c>
      <c r="V7">
        <v>5.29</v>
      </c>
      <c r="W7">
        <v>1.55</v>
      </c>
      <c r="X7">
        <v>-7.36</v>
      </c>
      <c r="Y7">
        <v>0.4</v>
      </c>
      <c r="Z7">
        <v>12.53</v>
      </c>
      <c r="AA7">
        <v>-3.82</v>
      </c>
      <c r="AB7">
        <v>-15.5</v>
      </c>
      <c r="AC7">
        <v>7.69</v>
      </c>
      <c r="AD7">
        <v>2.5499999999999998</v>
      </c>
      <c r="AE7">
        <v>-2.71</v>
      </c>
      <c r="AF7">
        <v>-1.98</v>
      </c>
      <c r="AG7">
        <v>-2.36</v>
      </c>
      <c r="AH7">
        <v>-4.47</v>
      </c>
      <c r="AI7">
        <v>-0.71</v>
      </c>
      <c r="AJ7">
        <v>3.46</v>
      </c>
      <c r="AK7">
        <v>7.39</v>
      </c>
      <c r="AL7">
        <v>0.77</v>
      </c>
      <c r="AM7">
        <v>7.83</v>
      </c>
      <c r="AN7">
        <v>2.81</v>
      </c>
      <c r="AO7">
        <v>-4.29</v>
      </c>
    </row>
    <row r="8" spans="1:41" x14ac:dyDescent="0.2">
      <c r="A8">
        <v>30</v>
      </c>
      <c r="B8">
        <v>92</v>
      </c>
      <c r="C8">
        <v>87.87</v>
      </c>
      <c r="D8">
        <v>83.66</v>
      </c>
      <c r="E8">
        <v>91.3</v>
      </c>
      <c r="F8">
        <v>86.46</v>
      </c>
      <c r="G8">
        <v>92.78</v>
      </c>
      <c r="H8">
        <v>77</v>
      </c>
      <c r="I8">
        <v>86.42</v>
      </c>
      <c r="J8">
        <v>92.35</v>
      </c>
      <c r="K8">
        <v>92.45</v>
      </c>
      <c r="L8">
        <v>90.43</v>
      </c>
      <c r="M8">
        <v>88.72</v>
      </c>
      <c r="N8">
        <v>88.75</v>
      </c>
      <c r="O8">
        <v>89.68</v>
      </c>
      <c r="P8">
        <v>94.01</v>
      </c>
      <c r="Q8">
        <v>89.15</v>
      </c>
      <c r="R8">
        <v>87.62</v>
      </c>
      <c r="S8">
        <v>92.32</v>
      </c>
      <c r="T8">
        <v>90.33</v>
      </c>
      <c r="U8">
        <v>86.41</v>
      </c>
      <c r="V8">
        <v>4.05</v>
      </c>
      <c r="W8">
        <v>-3.14</v>
      </c>
      <c r="X8">
        <v>-5.82</v>
      </c>
      <c r="Y8">
        <v>0.19</v>
      </c>
      <c r="Z8">
        <v>13.23</v>
      </c>
      <c r="AA8">
        <v>-4.99</v>
      </c>
      <c r="AB8">
        <v>-12.16</v>
      </c>
      <c r="AC8">
        <v>6.26</v>
      </c>
      <c r="AD8">
        <v>1.8</v>
      </c>
      <c r="AE8">
        <v>-3.9</v>
      </c>
      <c r="AF8">
        <v>-2.38</v>
      </c>
      <c r="AG8">
        <v>-0.92</v>
      </c>
      <c r="AH8">
        <v>-4.45</v>
      </c>
      <c r="AI8">
        <v>-5.32</v>
      </c>
      <c r="AJ8">
        <v>2.44</v>
      </c>
      <c r="AK8">
        <v>4.8499999999999996</v>
      </c>
      <c r="AL8">
        <v>0.92</v>
      </c>
      <c r="AM8">
        <v>8.6999999999999993</v>
      </c>
      <c r="AN8">
        <v>3.06</v>
      </c>
      <c r="AO8">
        <v>-5.44</v>
      </c>
    </row>
    <row r="9" spans="1:41" x14ac:dyDescent="0.2">
      <c r="A9">
        <v>35</v>
      </c>
      <c r="B9">
        <v>90.09</v>
      </c>
      <c r="C9">
        <v>85.65</v>
      </c>
      <c r="D9">
        <v>82.41</v>
      </c>
      <c r="E9">
        <v>91.98</v>
      </c>
      <c r="F9">
        <v>84.28</v>
      </c>
      <c r="G9">
        <v>91.54</v>
      </c>
      <c r="H9">
        <v>76.08</v>
      </c>
      <c r="I9">
        <v>84.96</v>
      </c>
      <c r="J9">
        <v>92.44</v>
      </c>
      <c r="K9">
        <v>90.44</v>
      </c>
      <c r="L9">
        <v>90.65</v>
      </c>
      <c r="M9">
        <v>88.25</v>
      </c>
      <c r="N9">
        <v>88.38</v>
      </c>
      <c r="O9">
        <v>90.24</v>
      </c>
      <c r="P9">
        <v>91.3</v>
      </c>
      <c r="Q9">
        <v>92.13</v>
      </c>
      <c r="R9">
        <v>82.58</v>
      </c>
      <c r="S9">
        <v>91.55</v>
      </c>
      <c r="T9">
        <v>89.05</v>
      </c>
      <c r="U9">
        <v>85.19</v>
      </c>
      <c r="V9">
        <v>1.27</v>
      </c>
      <c r="W9">
        <v>-6.45</v>
      </c>
      <c r="X9">
        <v>-8.48</v>
      </c>
      <c r="Y9">
        <v>-0.56999999999999995</v>
      </c>
      <c r="Z9">
        <v>13.46</v>
      </c>
      <c r="AA9">
        <v>-5.95</v>
      </c>
      <c r="AB9">
        <v>-12.29</v>
      </c>
      <c r="AC9">
        <v>6.98</v>
      </c>
      <c r="AD9">
        <v>-2.59</v>
      </c>
      <c r="AE9">
        <v>-6.4</v>
      </c>
      <c r="AF9">
        <v>-3.55</v>
      </c>
      <c r="AG9">
        <v>0.71</v>
      </c>
      <c r="AH9">
        <v>-3.75</v>
      </c>
      <c r="AI9">
        <v>-5.6</v>
      </c>
      <c r="AJ9">
        <v>1.75</v>
      </c>
      <c r="AK9">
        <v>4.6500000000000004</v>
      </c>
      <c r="AL9">
        <v>3.99</v>
      </c>
      <c r="AM9">
        <v>7.67</v>
      </c>
      <c r="AN9">
        <v>2.23</v>
      </c>
      <c r="AO9">
        <v>-5.3</v>
      </c>
    </row>
    <row r="10" spans="1:41" x14ac:dyDescent="0.2">
      <c r="A10">
        <v>40</v>
      </c>
      <c r="B10">
        <v>88.77</v>
      </c>
      <c r="C10">
        <v>85.27</v>
      </c>
      <c r="D10">
        <v>78.58</v>
      </c>
      <c r="E10">
        <v>89.83</v>
      </c>
      <c r="F10">
        <v>82.3</v>
      </c>
      <c r="G10">
        <v>92.62</v>
      </c>
      <c r="H10">
        <v>73.62</v>
      </c>
      <c r="I10">
        <v>86.4</v>
      </c>
      <c r="J10">
        <v>92.25</v>
      </c>
      <c r="K10">
        <v>88.02</v>
      </c>
      <c r="L10">
        <v>89.57</v>
      </c>
      <c r="M10">
        <v>87.56</v>
      </c>
      <c r="N10">
        <v>87.44</v>
      </c>
      <c r="O10">
        <v>89.66</v>
      </c>
      <c r="P10">
        <v>89.55</v>
      </c>
      <c r="Q10">
        <v>92.15</v>
      </c>
      <c r="R10">
        <v>82.04</v>
      </c>
      <c r="S10">
        <v>88.26</v>
      </c>
      <c r="T10">
        <v>88.36</v>
      </c>
      <c r="U10">
        <v>83.62</v>
      </c>
      <c r="V10">
        <v>1.93</v>
      </c>
      <c r="W10">
        <v>-7.59</v>
      </c>
      <c r="X10">
        <v>-9.06</v>
      </c>
      <c r="Y10">
        <v>-1.51</v>
      </c>
      <c r="Z10">
        <v>12.42</v>
      </c>
      <c r="AA10">
        <v>-5.28</v>
      </c>
      <c r="AB10">
        <v>-10.86</v>
      </c>
      <c r="AC10">
        <v>9.86</v>
      </c>
      <c r="AD10">
        <v>-4.5199999999999996</v>
      </c>
      <c r="AE10">
        <v>-7.26</v>
      </c>
      <c r="AF10">
        <v>-0.49</v>
      </c>
      <c r="AG10">
        <v>-0.7</v>
      </c>
      <c r="AH10">
        <v>-2.58</v>
      </c>
      <c r="AI10">
        <v>-5.37</v>
      </c>
      <c r="AJ10">
        <v>4.91</v>
      </c>
      <c r="AK10">
        <v>7.59</v>
      </c>
      <c r="AL10">
        <v>3.67</v>
      </c>
      <c r="AM10">
        <v>7.49</v>
      </c>
      <c r="AN10">
        <v>2.29</v>
      </c>
      <c r="AO10">
        <v>-4.96</v>
      </c>
    </row>
    <row r="11" spans="1:41" x14ac:dyDescent="0.2">
      <c r="A11">
        <v>45</v>
      </c>
      <c r="B11">
        <v>88.56</v>
      </c>
      <c r="C11">
        <v>86.12</v>
      </c>
      <c r="D11">
        <v>77.92</v>
      </c>
      <c r="E11">
        <v>87.22</v>
      </c>
      <c r="F11">
        <v>79.849999999999994</v>
      </c>
      <c r="G11">
        <v>92.4</v>
      </c>
      <c r="H11">
        <v>70.53</v>
      </c>
      <c r="I11">
        <v>87.93</v>
      </c>
      <c r="J11">
        <v>92.35</v>
      </c>
      <c r="K11">
        <v>88.79</v>
      </c>
      <c r="L11">
        <v>87.88</v>
      </c>
      <c r="M11">
        <v>87.78</v>
      </c>
      <c r="N11">
        <v>85.64</v>
      </c>
      <c r="O11">
        <v>88.75</v>
      </c>
      <c r="P11">
        <v>87.91</v>
      </c>
      <c r="Q11">
        <v>91.23</v>
      </c>
      <c r="R11">
        <v>83.4</v>
      </c>
      <c r="S11">
        <v>89.15</v>
      </c>
      <c r="T11">
        <v>88.55</v>
      </c>
      <c r="U11">
        <v>84.4</v>
      </c>
      <c r="V11">
        <v>0.49</v>
      </c>
      <c r="W11">
        <v>-7.79</v>
      </c>
      <c r="X11">
        <v>-8.19</v>
      </c>
      <c r="Y11">
        <v>-5.43</v>
      </c>
      <c r="Z11">
        <v>10.1</v>
      </c>
      <c r="AA11">
        <v>-4.7</v>
      </c>
      <c r="AB11">
        <v>-11.14</v>
      </c>
      <c r="AC11">
        <v>10.71</v>
      </c>
      <c r="AD11">
        <v>-4.42</v>
      </c>
      <c r="AE11">
        <v>-8.5299999999999994</v>
      </c>
      <c r="AF11">
        <v>1.0900000000000001</v>
      </c>
      <c r="AG11">
        <v>-2.98</v>
      </c>
      <c r="AH11">
        <v>-1.9</v>
      </c>
      <c r="AI11">
        <v>-5.26</v>
      </c>
      <c r="AJ11">
        <v>7.44</v>
      </c>
      <c r="AK11">
        <v>8.52</v>
      </c>
      <c r="AL11">
        <v>0.59</v>
      </c>
      <c r="AM11">
        <v>5.57</v>
      </c>
      <c r="AN11">
        <v>3.15</v>
      </c>
      <c r="AO11">
        <v>-7.11</v>
      </c>
    </row>
    <row r="12" spans="1:41" x14ac:dyDescent="0.2">
      <c r="A12">
        <v>50</v>
      </c>
      <c r="B12">
        <v>88.11</v>
      </c>
      <c r="C12">
        <v>87.87</v>
      </c>
      <c r="D12">
        <v>76.64</v>
      </c>
      <c r="E12">
        <v>87.04</v>
      </c>
      <c r="F12">
        <v>81.150000000000006</v>
      </c>
      <c r="G12">
        <v>91.9</v>
      </c>
      <c r="H12">
        <v>69.08</v>
      </c>
      <c r="I12">
        <v>86.44</v>
      </c>
      <c r="J12">
        <v>91.01</v>
      </c>
      <c r="K12">
        <v>88</v>
      </c>
      <c r="L12">
        <v>86.41</v>
      </c>
      <c r="M12">
        <v>88.25</v>
      </c>
      <c r="N12">
        <v>86.73</v>
      </c>
      <c r="O12">
        <v>84.83</v>
      </c>
      <c r="P12">
        <v>86.16</v>
      </c>
      <c r="Q12">
        <v>91.66</v>
      </c>
      <c r="R12">
        <v>83.03</v>
      </c>
      <c r="S12">
        <v>88.94</v>
      </c>
      <c r="T12">
        <v>91.18</v>
      </c>
      <c r="U12">
        <v>83.55</v>
      </c>
      <c r="V12">
        <v>-0.21</v>
      </c>
      <c r="W12">
        <v>-3.37</v>
      </c>
      <c r="X12">
        <v>-5.55</v>
      </c>
      <c r="Y12">
        <v>-7.31</v>
      </c>
      <c r="Z12">
        <v>10.52</v>
      </c>
      <c r="AA12">
        <v>-3</v>
      </c>
      <c r="AB12">
        <v>-14.14</v>
      </c>
      <c r="AC12">
        <v>9.83</v>
      </c>
      <c r="AD12">
        <v>-4.4000000000000004</v>
      </c>
      <c r="AE12">
        <v>-10.130000000000001</v>
      </c>
      <c r="AF12">
        <v>1.83</v>
      </c>
      <c r="AG12">
        <v>-3.97</v>
      </c>
      <c r="AH12">
        <v>-2.36</v>
      </c>
      <c r="AI12">
        <v>-5.73</v>
      </c>
      <c r="AJ12">
        <v>9.1300000000000008</v>
      </c>
      <c r="AK12">
        <v>7.83</v>
      </c>
      <c r="AL12">
        <v>0.53</v>
      </c>
      <c r="AM12">
        <v>6.96</v>
      </c>
      <c r="AN12">
        <v>2.34</v>
      </c>
      <c r="AO12">
        <v>-9.8800000000000008</v>
      </c>
    </row>
    <row r="13" spans="1:41" x14ac:dyDescent="0.2">
      <c r="A13">
        <v>55</v>
      </c>
      <c r="B13">
        <v>86.85</v>
      </c>
      <c r="C13">
        <v>90.81</v>
      </c>
      <c r="D13">
        <v>74.150000000000006</v>
      </c>
      <c r="E13">
        <v>86.68</v>
      </c>
      <c r="F13">
        <v>78.19</v>
      </c>
      <c r="G13">
        <v>91.49</v>
      </c>
      <c r="H13">
        <v>71.930000000000007</v>
      </c>
      <c r="I13">
        <v>85.32</v>
      </c>
      <c r="J13">
        <v>92.79</v>
      </c>
      <c r="K13">
        <v>83.93</v>
      </c>
      <c r="L13">
        <v>85.62</v>
      </c>
      <c r="M13">
        <v>87.91</v>
      </c>
      <c r="N13">
        <v>86.38</v>
      </c>
      <c r="O13">
        <v>85.3</v>
      </c>
      <c r="P13">
        <v>85.2</v>
      </c>
      <c r="Q13">
        <v>91.45</v>
      </c>
      <c r="R13">
        <v>78.349999999999994</v>
      </c>
      <c r="S13">
        <v>87.55</v>
      </c>
      <c r="T13">
        <v>90.63</v>
      </c>
      <c r="U13">
        <v>80.75</v>
      </c>
      <c r="V13">
        <v>-0.56999999999999995</v>
      </c>
      <c r="W13">
        <v>3.25</v>
      </c>
      <c r="X13">
        <v>-4.8899999999999997</v>
      </c>
      <c r="Y13">
        <v>-7.06</v>
      </c>
      <c r="Z13">
        <v>6.68</v>
      </c>
      <c r="AA13">
        <v>-4.29</v>
      </c>
      <c r="AB13">
        <v>-17.649999999999999</v>
      </c>
      <c r="AC13">
        <v>7.86</v>
      </c>
      <c r="AD13">
        <v>-5.01</v>
      </c>
      <c r="AE13">
        <v>-11.65</v>
      </c>
      <c r="AF13">
        <v>1.59</v>
      </c>
      <c r="AG13">
        <v>-7.28</v>
      </c>
      <c r="AH13">
        <v>-0.75</v>
      </c>
      <c r="AI13">
        <v>-8.5299999999999994</v>
      </c>
      <c r="AJ13">
        <v>8.5399999999999991</v>
      </c>
      <c r="AK13">
        <v>8.48</v>
      </c>
      <c r="AL13">
        <v>3.52</v>
      </c>
      <c r="AM13">
        <v>9.5399999999999991</v>
      </c>
      <c r="AN13">
        <v>2.2400000000000002</v>
      </c>
      <c r="AO13">
        <v>-11.42</v>
      </c>
    </row>
    <row r="14" spans="1:41" x14ac:dyDescent="0.2">
      <c r="A14">
        <v>60</v>
      </c>
      <c r="B14">
        <v>85.62</v>
      </c>
      <c r="C14">
        <v>92.91</v>
      </c>
      <c r="D14">
        <v>72.819999999999993</v>
      </c>
      <c r="E14">
        <v>87.05</v>
      </c>
      <c r="F14">
        <v>79.260000000000005</v>
      </c>
      <c r="G14">
        <v>90.81</v>
      </c>
      <c r="H14">
        <v>71.430000000000007</v>
      </c>
      <c r="I14">
        <v>86.73</v>
      </c>
      <c r="J14">
        <v>91.5</v>
      </c>
      <c r="K14">
        <v>81.290000000000006</v>
      </c>
      <c r="L14">
        <v>84.81</v>
      </c>
      <c r="M14">
        <v>85.27</v>
      </c>
      <c r="N14">
        <v>84.81</v>
      </c>
      <c r="O14">
        <v>86.01</v>
      </c>
      <c r="P14">
        <v>85.07</v>
      </c>
      <c r="Q14">
        <v>91.01</v>
      </c>
      <c r="R14">
        <v>74.89</v>
      </c>
      <c r="S14">
        <v>88.71</v>
      </c>
      <c r="T14">
        <v>89.11</v>
      </c>
      <c r="U14">
        <v>80.400000000000006</v>
      </c>
      <c r="V14">
        <v>-1.29</v>
      </c>
      <c r="W14">
        <v>4.5199999999999996</v>
      </c>
      <c r="X14">
        <v>-7.49</v>
      </c>
      <c r="Y14">
        <v>-6.9</v>
      </c>
      <c r="Z14">
        <v>6.82</v>
      </c>
      <c r="AA14">
        <v>-5.01</v>
      </c>
      <c r="AB14">
        <v>-16.399999999999999</v>
      </c>
      <c r="AC14">
        <v>9.3000000000000007</v>
      </c>
      <c r="AD14">
        <v>-2.91</v>
      </c>
      <c r="AE14">
        <v>-12.56</v>
      </c>
      <c r="AF14">
        <v>-0.1</v>
      </c>
      <c r="AG14">
        <v>-8.3000000000000007</v>
      </c>
      <c r="AH14">
        <v>-0.03</v>
      </c>
      <c r="AI14">
        <v>-10.39</v>
      </c>
      <c r="AJ14">
        <v>9.01</v>
      </c>
      <c r="AK14">
        <v>9.86</v>
      </c>
      <c r="AL14">
        <v>4.33</v>
      </c>
      <c r="AM14">
        <v>11.2</v>
      </c>
      <c r="AN14">
        <v>3.38</v>
      </c>
      <c r="AO14">
        <v>-11.06</v>
      </c>
    </row>
    <row r="15" spans="1:41" x14ac:dyDescent="0.2">
      <c r="A15">
        <v>65</v>
      </c>
      <c r="B15">
        <v>84.36</v>
      </c>
      <c r="C15">
        <v>91.47</v>
      </c>
      <c r="D15">
        <v>68.77</v>
      </c>
      <c r="E15">
        <v>87.23</v>
      </c>
      <c r="F15">
        <v>79.36</v>
      </c>
      <c r="G15">
        <v>89.22</v>
      </c>
      <c r="H15">
        <v>70</v>
      </c>
      <c r="I15">
        <v>87.02</v>
      </c>
      <c r="J15">
        <v>89.82</v>
      </c>
      <c r="K15">
        <v>77.13</v>
      </c>
      <c r="L15">
        <v>83.89</v>
      </c>
      <c r="M15">
        <v>83.87</v>
      </c>
      <c r="N15">
        <v>81.69</v>
      </c>
      <c r="O15">
        <v>85.35</v>
      </c>
      <c r="P15">
        <v>85.02</v>
      </c>
      <c r="Q15">
        <v>89.93</v>
      </c>
      <c r="R15">
        <v>75.72</v>
      </c>
      <c r="S15">
        <v>87.76</v>
      </c>
      <c r="T15">
        <v>88.26</v>
      </c>
      <c r="U15">
        <v>78.95</v>
      </c>
      <c r="V15">
        <v>-2.97</v>
      </c>
      <c r="W15">
        <v>-0.96</v>
      </c>
      <c r="X15">
        <v>-8.81</v>
      </c>
      <c r="Y15">
        <v>-9.3699999999999992</v>
      </c>
      <c r="Z15">
        <v>6.39</v>
      </c>
      <c r="AA15">
        <v>-7.19</v>
      </c>
      <c r="AB15">
        <v>-13.44</v>
      </c>
      <c r="AC15">
        <v>8.76</v>
      </c>
      <c r="AD15">
        <v>-3.33</v>
      </c>
      <c r="AE15">
        <v>-12.43</v>
      </c>
      <c r="AF15">
        <v>0.69</v>
      </c>
      <c r="AG15">
        <v>-5.96</v>
      </c>
      <c r="AH15">
        <v>1.63</v>
      </c>
      <c r="AI15">
        <v>-10.19</v>
      </c>
      <c r="AJ15">
        <v>9.74</v>
      </c>
      <c r="AK15">
        <v>10.72</v>
      </c>
      <c r="AL15">
        <v>4.79</v>
      </c>
      <c r="AM15">
        <v>12.63</v>
      </c>
      <c r="AN15">
        <v>3.22</v>
      </c>
      <c r="AO15">
        <v>-10.69</v>
      </c>
    </row>
    <row r="16" spans="1:41" x14ac:dyDescent="0.2">
      <c r="A16">
        <v>70</v>
      </c>
      <c r="B16">
        <v>84.59</v>
      </c>
      <c r="C16">
        <v>84.26</v>
      </c>
      <c r="D16">
        <v>63.32</v>
      </c>
      <c r="E16">
        <v>86.35</v>
      </c>
      <c r="F16">
        <v>79.260000000000005</v>
      </c>
      <c r="G16">
        <v>88.66</v>
      </c>
      <c r="H16">
        <v>67.91</v>
      </c>
      <c r="I16">
        <v>86.21</v>
      </c>
      <c r="J16">
        <v>90.73</v>
      </c>
      <c r="K16">
        <v>75.98</v>
      </c>
      <c r="L16">
        <v>84.98</v>
      </c>
      <c r="M16">
        <v>81.900000000000006</v>
      </c>
      <c r="N16">
        <v>80.099999999999994</v>
      </c>
      <c r="O16">
        <v>82.83</v>
      </c>
      <c r="P16">
        <v>83.05</v>
      </c>
      <c r="Q16">
        <v>86.61</v>
      </c>
      <c r="R16">
        <v>79.08</v>
      </c>
      <c r="S16">
        <v>83.95</v>
      </c>
      <c r="T16">
        <v>88.6</v>
      </c>
      <c r="U16">
        <v>76.599999999999994</v>
      </c>
      <c r="V16">
        <v>-2.29</v>
      </c>
      <c r="W16">
        <v>-4.96</v>
      </c>
      <c r="X16">
        <v>-9.57</v>
      </c>
      <c r="Y16">
        <v>-10.89</v>
      </c>
      <c r="Z16">
        <v>7.07</v>
      </c>
      <c r="AA16">
        <v>-7.3</v>
      </c>
      <c r="AB16">
        <v>-17.23</v>
      </c>
      <c r="AC16">
        <v>6.82</v>
      </c>
      <c r="AD16">
        <v>-2.5</v>
      </c>
      <c r="AE16">
        <v>-11.03</v>
      </c>
      <c r="AF16">
        <v>1.88</v>
      </c>
      <c r="AG16">
        <v>-2.68</v>
      </c>
      <c r="AH16">
        <v>1.38</v>
      </c>
      <c r="AI16">
        <v>-10.11</v>
      </c>
      <c r="AJ16">
        <v>11.27</v>
      </c>
      <c r="AK16">
        <v>10.74</v>
      </c>
      <c r="AL16">
        <v>3.23</v>
      </c>
      <c r="AM16">
        <v>13.28</v>
      </c>
      <c r="AN16">
        <v>5.45</v>
      </c>
      <c r="AO16">
        <v>-10.01</v>
      </c>
    </row>
    <row r="17" spans="1:41" x14ac:dyDescent="0.2">
      <c r="A17">
        <v>75</v>
      </c>
      <c r="B17">
        <v>85.61</v>
      </c>
      <c r="C17">
        <v>84.2</v>
      </c>
      <c r="D17">
        <v>60.32</v>
      </c>
      <c r="E17">
        <v>85.65</v>
      </c>
      <c r="F17">
        <v>78.790000000000006</v>
      </c>
      <c r="G17">
        <v>88.29</v>
      </c>
      <c r="H17">
        <v>68.099999999999994</v>
      </c>
      <c r="I17">
        <v>83.05</v>
      </c>
      <c r="J17">
        <v>89.96</v>
      </c>
      <c r="K17">
        <v>73.02</v>
      </c>
      <c r="L17">
        <v>83.74</v>
      </c>
      <c r="M17">
        <v>82.33</v>
      </c>
      <c r="N17">
        <v>79.069999999999993</v>
      </c>
      <c r="O17">
        <v>81.22</v>
      </c>
      <c r="P17">
        <v>81.66</v>
      </c>
      <c r="Q17">
        <v>83.73</v>
      </c>
      <c r="R17">
        <v>80.430000000000007</v>
      </c>
      <c r="S17">
        <v>85.21</v>
      </c>
      <c r="T17">
        <v>88.09</v>
      </c>
      <c r="U17">
        <v>75.680000000000007</v>
      </c>
      <c r="V17">
        <v>-1.97</v>
      </c>
      <c r="W17">
        <v>-6.99</v>
      </c>
      <c r="X17">
        <v>-10.95</v>
      </c>
      <c r="Y17">
        <v>-11.38</v>
      </c>
      <c r="Z17">
        <v>3.56</v>
      </c>
      <c r="AA17">
        <v>-7.66</v>
      </c>
      <c r="AB17">
        <v>-20.91</v>
      </c>
      <c r="AC17">
        <v>5.5</v>
      </c>
      <c r="AD17">
        <v>-0.31</v>
      </c>
      <c r="AE17">
        <v>-10.84</v>
      </c>
      <c r="AF17">
        <v>2.38</v>
      </c>
      <c r="AG17">
        <v>-4.0199999999999996</v>
      </c>
      <c r="AH17">
        <v>-0.27</v>
      </c>
      <c r="AI17">
        <v>-12.28</v>
      </c>
      <c r="AJ17">
        <v>11.84</v>
      </c>
      <c r="AK17">
        <v>11.5</v>
      </c>
      <c r="AL17">
        <v>1.24</v>
      </c>
      <c r="AM17">
        <v>13.03</v>
      </c>
      <c r="AN17">
        <v>6.67</v>
      </c>
      <c r="AO17">
        <v>-8.15</v>
      </c>
    </row>
    <row r="18" spans="1:41" x14ac:dyDescent="0.2">
      <c r="A18">
        <v>80</v>
      </c>
      <c r="B18">
        <v>83.75</v>
      </c>
      <c r="C18">
        <v>82.04</v>
      </c>
      <c r="D18">
        <v>60.7</v>
      </c>
      <c r="E18">
        <v>82.5</v>
      </c>
      <c r="F18">
        <v>77.27</v>
      </c>
      <c r="G18">
        <v>86.39</v>
      </c>
      <c r="H18">
        <v>66.040000000000006</v>
      </c>
      <c r="I18">
        <v>82.32</v>
      </c>
      <c r="J18">
        <v>88.09</v>
      </c>
      <c r="K18">
        <v>68.34</v>
      </c>
      <c r="L18">
        <v>83.46</v>
      </c>
      <c r="M18">
        <v>80.98</v>
      </c>
      <c r="N18">
        <v>79.36</v>
      </c>
      <c r="O18">
        <v>79.78</v>
      </c>
      <c r="P18">
        <v>82.34</v>
      </c>
      <c r="Q18">
        <v>82.47</v>
      </c>
      <c r="R18">
        <v>77.36</v>
      </c>
      <c r="S18">
        <v>84.1</v>
      </c>
      <c r="T18">
        <v>87.29</v>
      </c>
      <c r="U18">
        <v>75.06</v>
      </c>
      <c r="V18">
        <v>-3.29</v>
      </c>
      <c r="W18">
        <v>-8.65</v>
      </c>
      <c r="X18">
        <v>-10.8</v>
      </c>
      <c r="Y18">
        <v>-13.87</v>
      </c>
      <c r="Z18">
        <v>3.84</v>
      </c>
      <c r="AA18">
        <v>-8.24</v>
      </c>
      <c r="AB18">
        <v>-22.32</v>
      </c>
      <c r="AC18">
        <v>6.38</v>
      </c>
      <c r="AD18">
        <v>0.92</v>
      </c>
      <c r="AE18">
        <v>-10.62</v>
      </c>
      <c r="AF18">
        <v>4.22</v>
      </c>
      <c r="AG18">
        <v>-6.27</v>
      </c>
      <c r="AH18">
        <v>-0.98</v>
      </c>
      <c r="AI18">
        <v>-12.04</v>
      </c>
      <c r="AJ18">
        <v>10.87</v>
      </c>
      <c r="AK18">
        <v>11.3</v>
      </c>
      <c r="AL18">
        <v>2.81</v>
      </c>
      <c r="AM18">
        <v>13.84</v>
      </c>
      <c r="AN18">
        <v>7.88</v>
      </c>
      <c r="AO18">
        <v>-8.64</v>
      </c>
    </row>
    <row r="19" spans="1:41" x14ac:dyDescent="0.2">
      <c r="A19">
        <v>85</v>
      </c>
      <c r="B19">
        <v>82.47</v>
      </c>
      <c r="C19">
        <v>78.27</v>
      </c>
      <c r="D19">
        <v>61.91</v>
      </c>
      <c r="E19">
        <v>81.7</v>
      </c>
      <c r="F19">
        <v>76.25</v>
      </c>
      <c r="G19">
        <v>86.2</v>
      </c>
      <c r="H19">
        <v>66.87</v>
      </c>
      <c r="I19">
        <v>79.849999999999994</v>
      </c>
      <c r="J19">
        <v>86.88</v>
      </c>
      <c r="K19">
        <v>62.17</v>
      </c>
      <c r="L19">
        <v>81.83</v>
      </c>
      <c r="M19">
        <v>79.63</v>
      </c>
      <c r="N19">
        <v>79.290000000000006</v>
      </c>
      <c r="O19">
        <v>77.38</v>
      </c>
      <c r="P19">
        <v>81.99</v>
      </c>
      <c r="Q19">
        <v>80.83</v>
      </c>
      <c r="R19">
        <v>77.3</v>
      </c>
      <c r="S19">
        <v>83.05</v>
      </c>
      <c r="T19">
        <v>86.15</v>
      </c>
      <c r="U19">
        <v>74.66</v>
      </c>
      <c r="V19">
        <v>-4.3</v>
      </c>
      <c r="W19">
        <v>-8.19</v>
      </c>
      <c r="X19">
        <v>-11.52</v>
      </c>
      <c r="Y19">
        <v>-17.760000000000002</v>
      </c>
      <c r="Z19">
        <v>3.79</v>
      </c>
      <c r="AA19">
        <v>-7.73</v>
      </c>
      <c r="AB19">
        <v>-25.01</v>
      </c>
      <c r="AC19">
        <v>6.19</v>
      </c>
      <c r="AD19">
        <v>0.17</v>
      </c>
      <c r="AE19">
        <v>-13.2</v>
      </c>
      <c r="AF19">
        <v>3.53</v>
      </c>
      <c r="AG19">
        <v>-8.5399999999999991</v>
      </c>
      <c r="AH19">
        <v>-1</v>
      </c>
      <c r="AI19">
        <v>-13.35</v>
      </c>
      <c r="AJ19">
        <v>10.66</v>
      </c>
      <c r="AK19">
        <v>9.8800000000000008</v>
      </c>
      <c r="AL19">
        <v>5.07</v>
      </c>
      <c r="AM19">
        <v>15.64</v>
      </c>
      <c r="AN19">
        <v>8.18</v>
      </c>
      <c r="AO19">
        <v>-10.31</v>
      </c>
    </row>
    <row r="20" spans="1:41" x14ac:dyDescent="0.2">
      <c r="A20">
        <v>90</v>
      </c>
      <c r="B20">
        <v>82.21</v>
      </c>
      <c r="C20">
        <v>76.64</v>
      </c>
      <c r="D20">
        <v>60.53</v>
      </c>
      <c r="E20">
        <v>81.25</v>
      </c>
      <c r="F20">
        <v>76.38</v>
      </c>
      <c r="G20">
        <v>83.01</v>
      </c>
      <c r="H20">
        <v>67.040000000000006</v>
      </c>
      <c r="I20">
        <v>78.34</v>
      </c>
      <c r="J20">
        <v>85.19</v>
      </c>
      <c r="K20">
        <v>61.72</v>
      </c>
      <c r="L20">
        <v>81.86</v>
      </c>
      <c r="M20">
        <v>79.849999999999994</v>
      </c>
      <c r="N20">
        <v>79.19</v>
      </c>
      <c r="O20">
        <v>76.69</v>
      </c>
      <c r="P20">
        <v>80.69</v>
      </c>
      <c r="Q20">
        <v>78</v>
      </c>
      <c r="R20">
        <v>74.349999999999994</v>
      </c>
      <c r="S20">
        <v>81.5</v>
      </c>
      <c r="T20">
        <v>85.15</v>
      </c>
      <c r="U20">
        <v>74.42</v>
      </c>
      <c r="V20">
        <v>-4.1100000000000003</v>
      </c>
      <c r="W20">
        <v>-7.33</v>
      </c>
      <c r="X20">
        <v>-13.67</v>
      </c>
      <c r="Y20">
        <v>-17.190000000000001</v>
      </c>
      <c r="Z20">
        <v>2.79</v>
      </c>
      <c r="AA20">
        <v>-9.15</v>
      </c>
      <c r="AB20">
        <v>-22.91</v>
      </c>
      <c r="AC20">
        <v>5.14</v>
      </c>
      <c r="AD20">
        <v>-0.03</v>
      </c>
      <c r="AE20">
        <v>-13.71</v>
      </c>
      <c r="AF20">
        <v>3.3</v>
      </c>
      <c r="AG20">
        <v>-9.74</v>
      </c>
      <c r="AH20">
        <v>1.51</v>
      </c>
      <c r="AI20">
        <v>-11.33</v>
      </c>
      <c r="AJ20">
        <v>11.92</v>
      </c>
      <c r="AK20">
        <v>10.73</v>
      </c>
      <c r="AL20">
        <v>7.01</v>
      </c>
      <c r="AM20">
        <v>16.559999999999999</v>
      </c>
      <c r="AN20">
        <v>6.82</v>
      </c>
      <c r="AO20">
        <v>-8.81</v>
      </c>
    </row>
    <row r="21" spans="1:41" x14ac:dyDescent="0.2">
      <c r="A21">
        <v>95</v>
      </c>
      <c r="B21">
        <v>83.5</v>
      </c>
      <c r="C21">
        <v>76.42</v>
      </c>
      <c r="D21">
        <v>61.22</v>
      </c>
      <c r="E21">
        <v>78.72</v>
      </c>
      <c r="F21">
        <v>76.069999999999993</v>
      </c>
      <c r="G21">
        <v>81.96</v>
      </c>
      <c r="H21">
        <v>67.47</v>
      </c>
      <c r="I21">
        <v>74.900000000000006</v>
      </c>
      <c r="J21">
        <v>85.22</v>
      </c>
      <c r="K21">
        <v>62.32</v>
      </c>
      <c r="L21">
        <v>80.34</v>
      </c>
      <c r="M21">
        <v>79.239999999999995</v>
      </c>
      <c r="N21">
        <v>77.47</v>
      </c>
      <c r="O21">
        <v>75.73</v>
      </c>
      <c r="P21">
        <v>79.66</v>
      </c>
      <c r="Q21">
        <v>77.540000000000006</v>
      </c>
      <c r="R21">
        <v>72.12</v>
      </c>
      <c r="S21">
        <v>80.97</v>
      </c>
      <c r="T21">
        <v>83.69</v>
      </c>
      <c r="U21">
        <v>72.2</v>
      </c>
      <c r="V21">
        <v>-6.38</v>
      </c>
      <c r="W21">
        <v>-8.44</v>
      </c>
      <c r="X21">
        <v>-13.19</v>
      </c>
      <c r="Y21">
        <v>-19.760000000000002</v>
      </c>
      <c r="Z21">
        <v>1.3</v>
      </c>
      <c r="AA21">
        <v>-10</v>
      </c>
      <c r="AB21">
        <v>-21.28</v>
      </c>
      <c r="AC21">
        <v>6.24</v>
      </c>
      <c r="AD21">
        <v>-2.36</v>
      </c>
      <c r="AE21">
        <v>-13.14</v>
      </c>
      <c r="AF21">
        <v>2.39</v>
      </c>
      <c r="AG21">
        <v>-8.34</v>
      </c>
      <c r="AH21">
        <v>2.97</v>
      </c>
      <c r="AI21">
        <v>-12.55</v>
      </c>
      <c r="AJ21">
        <v>12.45</v>
      </c>
      <c r="AK21">
        <v>10.15</v>
      </c>
      <c r="AL21">
        <v>8.9600000000000009</v>
      </c>
      <c r="AM21">
        <v>15.14</v>
      </c>
      <c r="AN21">
        <v>5.27</v>
      </c>
      <c r="AO21">
        <v>-8.81</v>
      </c>
    </row>
    <row r="22" spans="1:41" x14ac:dyDescent="0.2">
      <c r="A22">
        <v>100</v>
      </c>
      <c r="B22">
        <v>83.77</v>
      </c>
      <c r="C22">
        <v>76.900000000000006</v>
      </c>
      <c r="D22">
        <v>58.1</v>
      </c>
      <c r="E22">
        <v>75.040000000000006</v>
      </c>
      <c r="F22">
        <v>71.87</v>
      </c>
      <c r="G22">
        <v>80.37</v>
      </c>
      <c r="H22">
        <v>65.91</v>
      </c>
      <c r="I22">
        <v>76.09</v>
      </c>
      <c r="J22">
        <v>85.04</v>
      </c>
      <c r="K22">
        <v>62.56</v>
      </c>
      <c r="L22">
        <v>80.790000000000006</v>
      </c>
      <c r="M22">
        <v>79.16</v>
      </c>
      <c r="N22">
        <v>77.319999999999993</v>
      </c>
      <c r="O22">
        <v>73.709999999999994</v>
      </c>
      <c r="P22">
        <v>77.209999999999994</v>
      </c>
      <c r="Q22">
        <v>76.59</v>
      </c>
      <c r="R22">
        <v>70.87</v>
      </c>
      <c r="S22">
        <v>81.31</v>
      </c>
      <c r="T22">
        <v>82.28</v>
      </c>
      <c r="U22">
        <v>69.91</v>
      </c>
      <c r="V22">
        <v>-8.34</v>
      </c>
      <c r="W22">
        <v>-10.88</v>
      </c>
      <c r="X22">
        <v>-12.37</v>
      </c>
      <c r="Y22">
        <v>-23.51</v>
      </c>
      <c r="Z22">
        <v>0.86</v>
      </c>
      <c r="AA22">
        <v>-11.15</v>
      </c>
      <c r="AB22">
        <v>-20.81</v>
      </c>
      <c r="AC22">
        <v>6.63</v>
      </c>
      <c r="AD22">
        <v>-1.53</v>
      </c>
      <c r="AE22">
        <v>-13.65</v>
      </c>
      <c r="AF22">
        <v>4.21</v>
      </c>
      <c r="AG22">
        <v>-8.61</v>
      </c>
      <c r="AH22">
        <v>4.12</v>
      </c>
      <c r="AI22">
        <v>-12.85</v>
      </c>
      <c r="AJ22">
        <v>12.54</v>
      </c>
      <c r="AK22">
        <v>11.39</v>
      </c>
      <c r="AL22">
        <v>6.87</v>
      </c>
      <c r="AM22">
        <v>14.36</v>
      </c>
      <c r="AN22">
        <v>5.42</v>
      </c>
      <c r="AO22">
        <v>-6.81</v>
      </c>
    </row>
    <row r="23" spans="1:41" x14ac:dyDescent="0.2">
      <c r="A23">
        <v>105</v>
      </c>
      <c r="B23">
        <v>82.39</v>
      </c>
      <c r="C23">
        <v>76.819999999999993</v>
      </c>
      <c r="D23">
        <v>56.14</v>
      </c>
      <c r="E23">
        <v>73.59</v>
      </c>
      <c r="F23">
        <v>70.150000000000006</v>
      </c>
      <c r="G23">
        <v>80.78</v>
      </c>
      <c r="H23">
        <v>65.41</v>
      </c>
      <c r="I23">
        <v>77.709999999999994</v>
      </c>
      <c r="J23">
        <v>85.48</v>
      </c>
      <c r="K23">
        <v>61.1</v>
      </c>
      <c r="L23">
        <v>80.709999999999994</v>
      </c>
      <c r="M23">
        <v>78.680000000000007</v>
      </c>
      <c r="N23">
        <v>75.81</v>
      </c>
      <c r="O23">
        <v>71.67</v>
      </c>
      <c r="P23">
        <v>73.849999999999994</v>
      </c>
      <c r="Q23">
        <v>76.08</v>
      </c>
      <c r="R23">
        <v>71.430000000000007</v>
      </c>
      <c r="S23">
        <v>78.16</v>
      </c>
      <c r="T23">
        <v>82.38</v>
      </c>
      <c r="U23">
        <v>69.89</v>
      </c>
      <c r="V23">
        <v>-7.68</v>
      </c>
      <c r="W23">
        <v>-14.02</v>
      </c>
      <c r="X23">
        <v>-15.56</v>
      </c>
      <c r="Y23">
        <v>-26.4</v>
      </c>
      <c r="Z23">
        <v>1.1599999999999999</v>
      </c>
      <c r="AA23">
        <v>-11.45</v>
      </c>
      <c r="AB23">
        <v>-24.85</v>
      </c>
      <c r="AC23">
        <v>4.29</v>
      </c>
      <c r="AD23">
        <v>-3.39</v>
      </c>
      <c r="AE23">
        <v>-14.99</v>
      </c>
      <c r="AF23">
        <v>4.6500000000000004</v>
      </c>
      <c r="AG23">
        <v>-9.82</v>
      </c>
      <c r="AH23">
        <v>4.93</v>
      </c>
      <c r="AI23">
        <v>-15.73</v>
      </c>
      <c r="AJ23">
        <v>12.74</v>
      </c>
      <c r="AK23">
        <v>12.56</v>
      </c>
      <c r="AL23">
        <v>7.73</v>
      </c>
      <c r="AM23">
        <v>17.57</v>
      </c>
      <c r="AN23">
        <v>6.15</v>
      </c>
      <c r="AO23">
        <v>-4.67</v>
      </c>
    </row>
    <row r="24" spans="1:41" x14ac:dyDescent="0.2">
      <c r="A24">
        <v>110</v>
      </c>
      <c r="B24">
        <v>81.680000000000007</v>
      </c>
      <c r="C24">
        <v>73.489999999999995</v>
      </c>
      <c r="D24">
        <v>54.46</v>
      </c>
      <c r="E24">
        <v>73.06</v>
      </c>
      <c r="F24">
        <v>70.040000000000006</v>
      </c>
      <c r="G24">
        <v>81.81</v>
      </c>
      <c r="H24">
        <v>64.45</v>
      </c>
      <c r="I24">
        <v>76.84</v>
      </c>
      <c r="J24">
        <v>84.96</v>
      </c>
      <c r="K24">
        <v>58.58</v>
      </c>
      <c r="L24">
        <v>80.209999999999994</v>
      </c>
      <c r="M24">
        <v>78.53</v>
      </c>
      <c r="N24">
        <v>75.52</v>
      </c>
      <c r="O24">
        <v>71.17</v>
      </c>
      <c r="P24">
        <v>73.88</v>
      </c>
      <c r="Q24">
        <v>74.81</v>
      </c>
      <c r="R24">
        <v>70.739999999999995</v>
      </c>
      <c r="S24">
        <v>76.569999999999993</v>
      </c>
      <c r="T24">
        <v>81.31</v>
      </c>
      <c r="U24">
        <v>69.430000000000007</v>
      </c>
      <c r="V24">
        <v>-9.0399999999999991</v>
      </c>
      <c r="W24">
        <v>-14.59</v>
      </c>
      <c r="X24">
        <v>-14.74</v>
      </c>
      <c r="Y24">
        <v>-27.54</v>
      </c>
      <c r="Z24">
        <v>1.44</v>
      </c>
      <c r="AA24">
        <v>-11.59</v>
      </c>
      <c r="AB24">
        <v>-26.96</v>
      </c>
      <c r="AC24">
        <v>3.32</v>
      </c>
      <c r="AD24">
        <v>-4.71</v>
      </c>
      <c r="AE24">
        <v>-16.12</v>
      </c>
      <c r="AF24">
        <v>5.0999999999999996</v>
      </c>
      <c r="AG24">
        <v>-9.67</v>
      </c>
      <c r="AH24">
        <v>4.28</v>
      </c>
      <c r="AI24">
        <v>-15.8</v>
      </c>
      <c r="AJ24">
        <v>14.02</v>
      </c>
      <c r="AK24">
        <v>12.41</v>
      </c>
      <c r="AL24">
        <v>9.66</v>
      </c>
      <c r="AM24">
        <v>19.489999999999998</v>
      </c>
      <c r="AN24">
        <v>6.29</v>
      </c>
      <c r="AO24">
        <v>-7.49</v>
      </c>
    </row>
    <row r="25" spans="1:41" x14ac:dyDescent="0.2">
      <c r="A25">
        <v>115</v>
      </c>
      <c r="B25">
        <v>80.5</v>
      </c>
      <c r="C25">
        <v>71.3</v>
      </c>
      <c r="D25">
        <v>55.89</v>
      </c>
      <c r="E25">
        <v>70.25</v>
      </c>
      <c r="F25">
        <v>70.819999999999993</v>
      </c>
      <c r="G25">
        <v>81.37</v>
      </c>
      <c r="H25">
        <v>63.43</v>
      </c>
      <c r="I25">
        <v>77.88</v>
      </c>
      <c r="J25">
        <v>83.67</v>
      </c>
      <c r="K25">
        <v>57.69</v>
      </c>
      <c r="L25">
        <v>79.41</v>
      </c>
      <c r="M25">
        <v>78.03</v>
      </c>
      <c r="N25">
        <v>76.3</v>
      </c>
      <c r="O25">
        <v>70.180000000000007</v>
      </c>
      <c r="P25">
        <v>72.58</v>
      </c>
      <c r="Q25">
        <v>73.5</v>
      </c>
      <c r="R25">
        <v>69.41</v>
      </c>
      <c r="S25">
        <v>76.03</v>
      </c>
      <c r="T25">
        <v>81.47</v>
      </c>
      <c r="U25">
        <v>70.27</v>
      </c>
      <c r="V25">
        <v>-8.7200000000000006</v>
      </c>
      <c r="W25">
        <v>-15.12</v>
      </c>
      <c r="X25">
        <v>-16.899999999999999</v>
      </c>
      <c r="Y25">
        <v>-29.72</v>
      </c>
      <c r="Z25">
        <v>0.72</v>
      </c>
      <c r="AA25">
        <v>-11.06</v>
      </c>
      <c r="AB25">
        <v>-26.63</v>
      </c>
      <c r="AC25">
        <v>3.67</v>
      </c>
      <c r="AD25">
        <v>-8.15</v>
      </c>
      <c r="AE25">
        <v>-16.87</v>
      </c>
      <c r="AF25">
        <v>5.33</v>
      </c>
      <c r="AG25">
        <v>-12.39</v>
      </c>
      <c r="AH25">
        <v>5.6</v>
      </c>
      <c r="AI25">
        <v>-14.72</v>
      </c>
      <c r="AJ25">
        <v>13.7</v>
      </c>
      <c r="AK25">
        <v>12.74</v>
      </c>
      <c r="AL25">
        <v>9.11</v>
      </c>
      <c r="AM25">
        <v>19.12</v>
      </c>
      <c r="AN25">
        <v>5.26</v>
      </c>
      <c r="AO25">
        <v>-7.01</v>
      </c>
    </row>
    <row r="26" spans="1:41" x14ac:dyDescent="0.2">
      <c r="A26">
        <v>120</v>
      </c>
      <c r="B26">
        <v>81.17</v>
      </c>
      <c r="C26">
        <v>70.55</v>
      </c>
      <c r="D26">
        <v>56.06</v>
      </c>
      <c r="E26">
        <v>68.56</v>
      </c>
      <c r="F26">
        <v>70.55</v>
      </c>
      <c r="G26">
        <v>79.66</v>
      </c>
      <c r="H26">
        <v>63.37</v>
      </c>
      <c r="I26">
        <v>74.13</v>
      </c>
      <c r="J26">
        <v>83.7</v>
      </c>
      <c r="K26">
        <v>57.07</v>
      </c>
      <c r="L26">
        <v>78.87</v>
      </c>
      <c r="M26">
        <v>77.31</v>
      </c>
      <c r="N26">
        <v>75.59</v>
      </c>
      <c r="O26">
        <v>69.790000000000006</v>
      </c>
      <c r="P26">
        <v>71.599999999999994</v>
      </c>
      <c r="Q26">
        <v>71.89</v>
      </c>
      <c r="R26">
        <v>70.42</v>
      </c>
      <c r="S26">
        <v>76.52</v>
      </c>
      <c r="T26">
        <v>79.78</v>
      </c>
      <c r="U26">
        <v>68.489999999999995</v>
      </c>
      <c r="V26">
        <v>-9.7799999999999994</v>
      </c>
      <c r="W26">
        <v>-16.989999999999998</v>
      </c>
      <c r="X26">
        <v>-17.350000000000001</v>
      </c>
      <c r="Y26">
        <v>-32.74</v>
      </c>
      <c r="Z26">
        <v>-0.97</v>
      </c>
      <c r="AA26">
        <v>-12.01</v>
      </c>
      <c r="AB26">
        <v>-28.13</v>
      </c>
      <c r="AC26">
        <v>1.86</v>
      </c>
      <c r="AD26">
        <v>-9.4499999999999993</v>
      </c>
      <c r="AE26">
        <v>-14.64</v>
      </c>
      <c r="AF26">
        <v>6.2</v>
      </c>
      <c r="AG26">
        <v>-13.22</v>
      </c>
      <c r="AH26">
        <v>5.64</v>
      </c>
      <c r="AI26">
        <v>-14.82</v>
      </c>
      <c r="AJ26">
        <v>15.38</v>
      </c>
      <c r="AK26">
        <v>12.37</v>
      </c>
      <c r="AL26">
        <v>6.99</v>
      </c>
      <c r="AM26">
        <v>21.3</v>
      </c>
      <c r="AN26">
        <v>5.84</v>
      </c>
      <c r="AO26">
        <v>-5.53</v>
      </c>
    </row>
    <row r="27" spans="1:41" x14ac:dyDescent="0.2">
      <c r="A27">
        <v>125</v>
      </c>
      <c r="B27">
        <v>81.3</v>
      </c>
      <c r="C27">
        <v>67.64</v>
      </c>
      <c r="D27">
        <v>54.09</v>
      </c>
      <c r="E27">
        <v>66.989999999999995</v>
      </c>
      <c r="F27">
        <v>68.66</v>
      </c>
      <c r="G27">
        <v>76.97</v>
      </c>
      <c r="H27">
        <v>62.74</v>
      </c>
      <c r="I27">
        <v>75.62</v>
      </c>
      <c r="J27">
        <v>82.32</v>
      </c>
      <c r="K27">
        <v>57.37</v>
      </c>
      <c r="L27">
        <v>77.739999999999995</v>
      </c>
      <c r="M27">
        <v>76.72</v>
      </c>
      <c r="N27">
        <v>75.260000000000005</v>
      </c>
      <c r="O27">
        <v>70.040000000000006</v>
      </c>
      <c r="P27">
        <v>70.319999999999993</v>
      </c>
      <c r="Q27">
        <v>71.78</v>
      </c>
      <c r="R27">
        <v>71.930000000000007</v>
      </c>
      <c r="S27">
        <v>75.260000000000005</v>
      </c>
      <c r="T27">
        <v>78.89</v>
      </c>
      <c r="U27">
        <v>67.680000000000007</v>
      </c>
      <c r="V27">
        <v>-11.39</v>
      </c>
      <c r="W27">
        <v>-19.63</v>
      </c>
      <c r="X27">
        <v>-19.989999999999998</v>
      </c>
      <c r="Y27">
        <v>-36.54</v>
      </c>
      <c r="Z27">
        <v>-1.1100000000000001</v>
      </c>
      <c r="AA27">
        <v>-12.43</v>
      </c>
      <c r="AB27">
        <v>-33.479999999999997</v>
      </c>
      <c r="AC27">
        <v>2.8</v>
      </c>
      <c r="AD27">
        <v>-10.28</v>
      </c>
      <c r="AE27">
        <v>-13.3</v>
      </c>
      <c r="AF27">
        <v>7.31</v>
      </c>
      <c r="AG27">
        <v>-13.13</v>
      </c>
      <c r="AH27">
        <v>5.15</v>
      </c>
      <c r="AI27">
        <v>-17.39</v>
      </c>
      <c r="AJ27">
        <v>15.88</v>
      </c>
      <c r="AK27">
        <v>12.65</v>
      </c>
      <c r="AL27">
        <v>7.95</v>
      </c>
      <c r="AM27">
        <v>23.18</v>
      </c>
      <c r="AN27">
        <v>5.54</v>
      </c>
      <c r="AO27">
        <v>-3.51</v>
      </c>
    </row>
    <row r="28" spans="1:41" x14ac:dyDescent="0.2">
      <c r="A28">
        <v>130</v>
      </c>
      <c r="B28">
        <v>80.48</v>
      </c>
      <c r="C28">
        <v>66.14</v>
      </c>
      <c r="D28">
        <v>54.46</v>
      </c>
      <c r="E28">
        <v>64.53</v>
      </c>
      <c r="F28">
        <v>66.05</v>
      </c>
      <c r="G28">
        <v>76.64</v>
      </c>
      <c r="H28">
        <v>63.45</v>
      </c>
      <c r="I28">
        <v>74.48</v>
      </c>
      <c r="J28">
        <v>83.46</v>
      </c>
      <c r="K28">
        <v>57.82</v>
      </c>
      <c r="L28">
        <v>77.25</v>
      </c>
      <c r="M28">
        <v>75.040000000000006</v>
      </c>
      <c r="N28">
        <v>74.72</v>
      </c>
      <c r="O28">
        <v>68.319999999999993</v>
      </c>
      <c r="P28">
        <v>69.099999999999994</v>
      </c>
      <c r="Q28">
        <v>70.91</v>
      </c>
      <c r="R28">
        <v>69.83</v>
      </c>
      <c r="S28">
        <v>75.989999999999995</v>
      </c>
      <c r="T28">
        <v>79.31</v>
      </c>
      <c r="U28">
        <v>67.5</v>
      </c>
      <c r="V28">
        <v>-11.59</v>
      </c>
      <c r="W28">
        <v>-19.600000000000001</v>
      </c>
      <c r="X28">
        <v>-21.35</v>
      </c>
      <c r="Y28">
        <v>-40.83</v>
      </c>
      <c r="Z28">
        <v>-0.56999999999999995</v>
      </c>
      <c r="AA28">
        <v>-13.38</v>
      </c>
      <c r="AB28">
        <v>-33.130000000000003</v>
      </c>
      <c r="AC28">
        <v>3.48</v>
      </c>
      <c r="AD28">
        <v>-11.87</v>
      </c>
      <c r="AE28">
        <v>-14.5</v>
      </c>
      <c r="AF28">
        <v>7.06</v>
      </c>
      <c r="AG28">
        <v>-13.02</v>
      </c>
      <c r="AH28">
        <v>4.79</v>
      </c>
      <c r="AI28">
        <v>-17.77</v>
      </c>
      <c r="AJ28">
        <v>16.170000000000002</v>
      </c>
      <c r="AK28">
        <v>13.1</v>
      </c>
      <c r="AL28">
        <v>9.01</v>
      </c>
      <c r="AM28">
        <v>23.99</v>
      </c>
      <c r="AN28">
        <v>7.53</v>
      </c>
      <c r="AO28">
        <v>-3.92</v>
      </c>
    </row>
    <row r="29" spans="1:41" x14ac:dyDescent="0.2">
      <c r="A29">
        <v>135</v>
      </c>
      <c r="B29">
        <v>80.209999999999994</v>
      </c>
      <c r="C29">
        <v>64.53</v>
      </c>
      <c r="D29">
        <v>54.32</v>
      </c>
      <c r="E29">
        <v>62.11</v>
      </c>
      <c r="F29">
        <v>66.680000000000007</v>
      </c>
      <c r="G29">
        <v>74.78</v>
      </c>
      <c r="H29">
        <v>62.27</v>
      </c>
      <c r="I29">
        <v>73.66</v>
      </c>
      <c r="J29">
        <v>84.45</v>
      </c>
      <c r="K29">
        <v>56.72</v>
      </c>
      <c r="L29">
        <v>76.709999999999994</v>
      </c>
      <c r="M29">
        <v>73.61</v>
      </c>
      <c r="N29">
        <v>75.42</v>
      </c>
      <c r="O29">
        <v>67.11</v>
      </c>
      <c r="P29">
        <v>68.73</v>
      </c>
      <c r="Q29">
        <v>69.61</v>
      </c>
      <c r="R29">
        <v>67.16</v>
      </c>
      <c r="S29">
        <v>71.63</v>
      </c>
      <c r="T29">
        <v>78.8</v>
      </c>
      <c r="U29">
        <v>67.38</v>
      </c>
      <c r="V29">
        <v>-13.21</v>
      </c>
      <c r="W29">
        <v>-22.43</v>
      </c>
      <c r="X29">
        <v>-20.23</v>
      </c>
      <c r="Y29">
        <v>-42.92</v>
      </c>
      <c r="Z29">
        <v>-1.29</v>
      </c>
      <c r="AA29">
        <v>-14.11</v>
      </c>
      <c r="AB29">
        <v>-31.29</v>
      </c>
      <c r="AC29">
        <v>3.63</v>
      </c>
      <c r="AD29">
        <v>-13</v>
      </c>
      <c r="AE29">
        <v>-15.55</v>
      </c>
      <c r="AF29">
        <v>7.53</v>
      </c>
      <c r="AG29">
        <v>-13.46</v>
      </c>
      <c r="AH29">
        <v>5.93</v>
      </c>
      <c r="AI29">
        <v>-18.52</v>
      </c>
      <c r="AJ29">
        <v>16.03</v>
      </c>
      <c r="AK29">
        <v>12.97</v>
      </c>
      <c r="AL29">
        <v>11.33</v>
      </c>
      <c r="AM29">
        <v>25.29</v>
      </c>
      <c r="AN29">
        <v>6.69</v>
      </c>
      <c r="AO29">
        <v>-2.64</v>
      </c>
    </row>
    <row r="30" spans="1:41" x14ac:dyDescent="0.2">
      <c r="A30">
        <v>140</v>
      </c>
      <c r="B30">
        <v>79.459999999999994</v>
      </c>
      <c r="C30">
        <v>61.93</v>
      </c>
      <c r="D30">
        <v>55.3</v>
      </c>
      <c r="E30">
        <v>62.98</v>
      </c>
      <c r="F30">
        <v>67.27</v>
      </c>
      <c r="G30">
        <v>75.03</v>
      </c>
      <c r="H30">
        <v>59.81</v>
      </c>
      <c r="I30">
        <v>74.38</v>
      </c>
      <c r="J30">
        <v>84.19</v>
      </c>
      <c r="K30">
        <v>55.88</v>
      </c>
      <c r="L30">
        <v>76.67</v>
      </c>
      <c r="M30">
        <v>72.34</v>
      </c>
      <c r="N30">
        <v>75.47</v>
      </c>
      <c r="O30">
        <v>66.19</v>
      </c>
      <c r="P30">
        <v>67.05</v>
      </c>
      <c r="Q30">
        <v>69.8</v>
      </c>
      <c r="R30">
        <v>66.37</v>
      </c>
      <c r="S30">
        <v>70.66</v>
      </c>
      <c r="T30">
        <v>78.02</v>
      </c>
      <c r="U30">
        <v>67.209999999999994</v>
      </c>
      <c r="V30">
        <v>-13.91</v>
      </c>
      <c r="W30">
        <v>-22.46</v>
      </c>
      <c r="X30">
        <v>-22.6</v>
      </c>
      <c r="Y30">
        <v>-44.87</v>
      </c>
      <c r="Z30">
        <v>-3.27</v>
      </c>
      <c r="AA30">
        <v>-15.77</v>
      </c>
      <c r="AB30">
        <v>-30.35</v>
      </c>
      <c r="AC30">
        <v>3.16</v>
      </c>
      <c r="AD30">
        <v>-13.61</v>
      </c>
      <c r="AE30">
        <v>-18.96</v>
      </c>
      <c r="AF30">
        <v>8.16</v>
      </c>
      <c r="AG30">
        <v>-13.35</v>
      </c>
      <c r="AH30">
        <v>8.23</v>
      </c>
      <c r="AI30">
        <v>-20.329999999999998</v>
      </c>
      <c r="AJ30">
        <v>16.3</v>
      </c>
      <c r="AK30">
        <v>13.37</v>
      </c>
      <c r="AL30">
        <v>10.6</v>
      </c>
      <c r="AM30">
        <v>25.21</v>
      </c>
      <c r="AN30">
        <v>6.66</v>
      </c>
      <c r="AO30">
        <v>-2.5499999999999998</v>
      </c>
    </row>
    <row r="31" spans="1:41" x14ac:dyDescent="0.2">
      <c r="A31">
        <v>145</v>
      </c>
      <c r="B31">
        <v>79.8</v>
      </c>
      <c r="C31">
        <v>56.23</v>
      </c>
      <c r="D31">
        <v>53.66</v>
      </c>
      <c r="E31">
        <v>62.25</v>
      </c>
      <c r="F31">
        <v>65.28</v>
      </c>
      <c r="G31">
        <v>74.91</v>
      </c>
      <c r="H31">
        <v>60.13</v>
      </c>
      <c r="I31">
        <v>73.209999999999994</v>
      </c>
      <c r="J31">
        <v>83.53</v>
      </c>
      <c r="K31">
        <v>55.96</v>
      </c>
      <c r="L31">
        <v>75.400000000000006</v>
      </c>
      <c r="M31">
        <v>71.819999999999993</v>
      </c>
      <c r="N31">
        <v>74.72</v>
      </c>
      <c r="O31">
        <v>64.599999999999994</v>
      </c>
      <c r="P31">
        <v>66.47</v>
      </c>
      <c r="Q31">
        <v>66.930000000000007</v>
      </c>
      <c r="R31">
        <v>65.17</v>
      </c>
      <c r="S31">
        <v>70.98</v>
      </c>
      <c r="T31">
        <v>77.150000000000006</v>
      </c>
      <c r="U31">
        <v>65.81</v>
      </c>
      <c r="V31">
        <v>-15.64</v>
      </c>
      <c r="W31">
        <v>-22.15</v>
      </c>
      <c r="X31">
        <v>-23.1</v>
      </c>
      <c r="Y31">
        <v>-46.78</v>
      </c>
      <c r="Z31">
        <v>-3.59</v>
      </c>
      <c r="AA31">
        <v>-18.78</v>
      </c>
      <c r="AB31">
        <v>-29.41</v>
      </c>
      <c r="AC31">
        <v>2.56</v>
      </c>
      <c r="AD31">
        <v>-14.09</v>
      </c>
      <c r="AE31">
        <v>-20.47</v>
      </c>
      <c r="AF31">
        <v>9.2100000000000009</v>
      </c>
      <c r="AG31">
        <v>-13.26</v>
      </c>
      <c r="AH31">
        <v>9.19</v>
      </c>
      <c r="AI31">
        <v>-20.23</v>
      </c>
      <c r="AJ31">
        <v>14.97</v>
      </c>
      <c r="AK31">
        <v>13.12</v>
      </c>
      <c r="AL31">
        <v>12.26</v>
      </c>
      <c r="AM31">
        <v>25.37</v>
      </c>
      <c r="AN31">
        <v>7.98</v>
      </c>
      <c r="AO31">
        <v>-2.0299999999999998</v>
      </c>
    </row>
    <row r="32" spans="1:41" x14ac:dyDescent="0.2">
      <c r="A32">
        <v>150</v>
      </c>
      <c r="B32">
        <v>79.540000000000006</v>
      </c>
      <c r="C32">
        <v>54.18</v>
      </c>
      <c r="D32">
        <v>54.35</v>
      </c>
      <c r="E32">
        <v>60.27</v>
      </c>
      <c r="F32">
        <v>61.37</v>
      </c>
      <c r="G32">
        <v>75.819999999999993</v>
      </c>
      <c r="H32">
        <v>61.04</v>
      </c>
      <c r="I32">
        <v>71.59</v>
      </c>
      <c r="J32">
        <v>82.77</v>
      </c>
      <c r="K32">
        <v>54.94</v>
      </c>
      <c r="L32">
        <v>74.319999999999993</v>
      </c>
      <c r="M32">
        <v>70.38</v>
      </c>
      <c r="N32">
        <v>74.7</v>
      </c>
      <c r="O32">
        <v>64.44</v>
      </c>
      <c r="P32">
        <v>64.849999999999994</v>
      </c>
      <c r="Q32">
        <v>67.17</v>
      </c>
      <c r="R32">
        <v>64.13</v>
      </c>
      <c r="S32">
        <v>67.8</v>
      </c>
      <c r="T32">
        <v>76.84</v>
      </c>
      <c r="U32">
        <v>65.62</v>
      </c>
      <c r="V32">
        <v>-15.28</v>
      </c>
      <c r="W32">
        <v>-23.01</v>
      </c>
      <c r="X32">
        <v>-21.95</v>
      </c>
      <c r="Y32">
        <v>-49.11</v>
      </c>
      <c r="Z32">
        <v>-6.97</v>
      </c>
      <c r="AA32">
        <v>-19.29</v>
      </c>
      <c r="AB32">
        <v>-30.71</v>
      </c>
      <c r="AC32">
        <v>1.33</v>
      </c>
      <c r="AD32">
        <v>-15.63</v>
      </c>
      <c r="AE32">
        <v>-20.95</v>
      </c>
      <c r="AF32">
        <v>9.32</v>
      </c>
      <c r="AG32">
        <v>-13.91</v>
      </c>
      <c r="AH32">
        <v>9.58</v>
      </c>
      <c r="AI32">
        <v>-21.7</v>
      </c>
      <c r="AJ32">
        <v>14.97</v>
      </c>
      <c r="AK32">
        <v>13.77</v>
      </c>
      <c r="AL32">
        <v>12.28</v>
      </c>
      <c r="AM32">
        <v>26.44</v>
      </c>
      <c r="AN32">
        <v>8.3699999999999992</v>
      </c>
      <c r="AO32">
        <v>-2.11</v>
      </c>
    </row>
    <row r="33" spans="1:43" x14ac:dyDescent="0.2">
      <c r="A33">
        <v>155</v>
      </c>
      <c r="B33">
        <v>78.680000000000007</v>
      </c>
      <c r="C33">
        <v>53.81</v>
      </c>
      <c r="D33">
        <v>51.26</v>
      </c>
      <c r="E33">
        <v>57.97</v>
      </c>
      <c r="F33">
        <v>60.15</v>
      </c>
      <c r="G33">
        <v>75.489999999999995</v>
      </c>
      <c r="H33">
        <v>60</v>
      </c>
      <c r="I33">
        <v>70.599999999999994</v>
      </c>
      <c r="J33">
        <v>81.599999999999994</v>
      </c>
      <c r="K33">
        <v>54.55</v>
      </c>
      <c r="L33">
        <v>73.540000000000006</v>
      </c>
      <c r="M33">
        <v>70.569999999999993</v>
      </c>
      <c r="N33">
        <v>74.14</v>
      </c>
      <c r="O33">
        <v>62.54</v>
      </c>
      <c r="P33">
        <v>63.16</v>
      </c>
      <c r="Q33">
        <v>67.56</v>
      </c>
      <c r="R33">
        <v>61.96</v>
      </c>
      <c r="S33">
        <v>67.14</v>
      </c>
      <c r="T33">
        <v>75.819999999999993</v>
      </c>
      <c r="U33">
        <v>66.319999999999993</v>
      </c>
      <c r="V33">
        <v>-14.52</v>
      </c>
      <c r="W33">
        <v>-25.07</v>
      </c>
      <c r="X33">
        <v>-24.11</v>
      </c>
      <c r="Y33">
        <v>-51.51</v>
      </c>
      <c r="Z33">
        <v>-9.0299999999999994</v>
      </c>
      <c r="AA33">
        <v>-22.75</v>
      </c>
      <c r="AB33">
        <v>-28.99</v>
      </c>
      <c r="AC33">
        <v>1.67</v>
      </c>
      <c r="AD33">
        <v>-16.27</v>
      </c>
      <c r="AE33">
        <v>-21.3</v>
      </c>
      <c r="AF33">
        <v>10.29</v>
      </c>
      <c r="AG33">
        <v>-14.94</v>
      </c>
      <c r="AH33">
        <v>10.94</v>
      </c>
      <c r="AI33">
        <v>-21.93</v>
      </c>
      <c r="AJ33">
        <v>16.48</v>
      </c>
      <c r="AK33">
        <v>14.13</v>
      </c>
      <c r="AL33">
        <v>13.36</v>
      </c>
      <c r="AM33">
        <v>26.89</v>
      </c>
      <c r="AN33">
        <v>7.09</v>
      </c>
      <c r="AO33">
        <v>-1.83</v>
      </c>
    </row>
    <row r="34" spans="1:43" x14ac:dyDescent="0.2">
      <c r="A34">
        <v>160</v>
      </c>
      <c r="B34">
        <v>77.87</v>
      </c>
      <c r="C34">
        <v>54.35</v>
      </c>
      <c r="D34">
        <v>52.69</v>
      </c>
      <c r="E34">
        <v>57.67</v>
      </c>
      <c r="F34">
        <v>61.81</v>
      </c>
      <c r="G34">
        <v>75.08</v>
      </c>
      <c r="H34">
        <v>59.41</v>
      </c>
      <c r="I34">
        <v>69.95</v>
      </c>
      <c r="J34">
        <v>81.95</v>
      </c>
      <c r="K34">
        <v>55.06</v>
      </c>
      <c r="L34">
        <v>72.849999999999994</v>
      </c>
      <c r="M34">
        <v>68.790000000000006</v>
      </c>
      <c r="N34">
        <v>73.78</v>
      </c>
      <c r="O34">
        <v>61.84</v>
      </c>
      <c r="P34">
        <v>62.14</v>
      </c>
      <c r="Q34">
        <v>66.010000000000005</v>
      </c>
      <c r="R34">
        <v>60.75</v>
      </c>
      <c r="S34">
        <v>66.62</v>
      </c>
      <c r="T34">
        <v>75.040000000000006</v>
      </c>
      <c r="U34">
        <v>66.790000000000006</v>
      </c>
      <c r="V34">
        <v>-15.95</v>
      </c>
      <c r="W34">
        <v>-25</v>
      </c>
      <c r="X34">
        <v>-24.17</v>
      </c>
      <c r="Y34">
        <v>-51.59</v>
      </c>
      <c r="Z34">
        <v>-8.9700000000000006</v>
      </c>
      <c r="AA34">
        <v>-23.3</v>
      </c>
      <c r="AB34">
        <v>-30.97</v>
      </c>
      <c r="AC34">
        <v>0.13</v>
      </c>
      <c r="AD34">
        <v>-15.24</v>
      </c>
      <c r="AE34">
        <v>-22.7</v>
      </c>
      <c r="AF34">
        <v>10.65</v>
      </c>
      <c r="AG34">
        <v>-15.59</v>
      </c>
      <c r="AH34">
        <v>9.2100000000000009</v>
      </c>
      <c r="AI34">
        <v>-20.81</v>
      </c>
      <c r="AJ34">
        <v>16.8</v>
      </c>
      <c r="AK34">
        <v>13.45</v>
      </c>
      <c r="AL34">
        <v>15.14</v>
      </c>
      <c r="AM34">
        <v>27.76</v>
      </c>
      <c r="AN34">
        <v>8.0399999999999991</v>
      </c>
      <c r="AO34">
        <v>-3.47</v>
      </c>
    </row>
    <row r="35" spans="1:43" x14ac:dyDescent="0.2">
      <c r="A35">
        <v>165</v>
      </c>
      <c r="B35">
        <v>77.459999999999994</v>
      </c>
      <c r="C35">
        <v>53.84</v>
      </c>
      <c r="D35">
        <v>52.56</v>
      </c>
      <c r="E35">
        <v>54.66</v>
      </c>
      <c r="F35">
        <v>62.7</v>
      </c>
      <c r="G35">
        <v>74.72</v>
      </c>
      <c r="H35">
        <v>59.61</v>
      </c>
      <c r="I35">
        <v>69.61</v>
      </c>
      <c r="J35">
        <v>81.83</v>
      </c>
      <c r="K35">
        <v>55.06</v>
      </c>
      <c r="L35">
        <v>72.52</v>
      </c>
      <c r="M35">
        <v>67.709999999999994</v>
      </c>
      <c r="N35">
        <v>72.72</v>
      </c>
      <c r="O35">
        <v>61.4</v>
      </c>
      <c r="P35">
        <v>62.3</v>
      </c>
      <c r="Q35">
        <v>66.34</v>
      </c>
      <c r="R35">
        <v>57.9</v>
      </c>
      <c r="S35">
        <v>67.760000000000005</v>
      </c>
      <c r="T35">
        <v>74.25</v>
      </c>
      <c r="U35">
        <v>66.28</v>
      </c>
      <c r="V35">
        <v>-16.63</v>
      </c>
      <c r="W35">
        <v>-26.04</v>
      </c>
      <c r="X35">
        <v>-23.57</v>
      </c>
      <c r="Y35">
        <v>-54.07</v>
      </c>
      <c r="Z35">
        <v>-8.76</v>
      </c>
      <c r="AA35">
        <v>-24.65</v>
      </c>
      <c r="AB35">
        <v>-32.71</v>
      </c>
      <c r="AC35">
        <v>-1.22</v>
      </c>
      <c r="AD35">
        <v>-16.64</v>
      </c>
      <c r="AE35">
        <v>-22.96</v>
      </c>
      <c r="AF35">
        <v>10.97</v>
      </c>
      <c r="AG35">
        <v>-14.49</v>
      </c>
      <c r="AH35">
        <v>10.39</v>
      </c>
      <c r="AI35">
        <v>-21.66</v>
      </c>
      <c r="AJ35">
        <v>17.27</v>
      </c>
      <c r="AK35">
        <v>13.73</v>
      </c>
      <c r="AL35">
        <v>14.78</v>
      </c>
      <c r="AM35">
        <v>28.31</v>
      </c>
      <c r="AN35">
        <v>9.84</v>
      </c>
      <c r="AO35">
        <v>-4.2699999999999996</v>
      </c>
    </row>
    <row r="36" spans="1:43" x14ac:dyDescent="0.2">
      <c r="A36">
        <v>170</v>
      </c>
      <c r="B36">
        <v>76.59</v>
      </c>
      <c r="C36">
        <v>57.44</v>
      </c>
      <c r="D36">
        <v>52.9</v>
      </c>
      <c r="E36">
        <v>53.53</v>
      </c>
      <c r="F36">
        <v>62.67</v>
      </c>
      <c r="G36">
        <v>76.03</v>
      </c>
      <c r="H36">
        <v>60.11</v>
      </c>
      <c r="I36">
        <v>69.62</v>
      </c>
      <c r="J36">
        <v>81.64</v>
      </c>
      <c r="K36">
        <v>55.12</v>
      </c>
      <c r="L36">
        <v>72.14</v>
      </c>
      <c r="M36">
        <v>67.39</v>
      </c>
      <c r="N36">
        <v>72.150000000000006</v>
      </c>
      <c r="O36">
        <v>60.76</v>
      </c>
      <c r="P36">
        <v>62.52</v>
      </c>
      <c r="Q36">
        <v>66.05</v>
      </c>
      <c r="R36">
        <v>58.46</v>
      </c>
      <c r="S36">
        <v>65.05</v>
      </c>
      <c r="T36">
        <v>72.239999999999995</v>
      </c>
      <c r="U36">
        <v>66.650000000000006</v>
      </c>
      <c r="V36">
        <v>-17.77</v>
      </c>
      <c r="W36">
        <v>-26.38</v>
      </c>
      <c r="X36">
        <v>-23.9</v>
      </c>
      <c r="Y36">
        <v>-56.02</v>
      </c>
      <c r="Z36">
        <v>-10.74</v>
      </c>
      <c r="AA36">
        <v>-26.95</v>
      </c>
      <c r="AB36">
        <v>-35.450000000000003</v>
      </c>
      <c r="AC36">
        <v>-0.88</v>
      </c>
      <c r="AD36">
        <v>-16.23</v>
      </c>
      <c r="AE36">
        <v>-24.07</v>
      </c>
      <c r="AF36">
        <v>11.77</v>
      </c>
      <c r="AG36">
        <v>-13.32</v>
      </c>
      <c r="AH36">
        <v>10.82</v>
      </c>
      <c r="AI36">
        <v>-23.21</v>
      </c>
      <c r="AJ36">
        <v>17.77</v>
      </c>
      <c r="AK36">
        <v>13.1</v>
      </c>
      <c r="AL36">
        <v>13.73</v>
      </c>
      <c r="AM36">
        <v>27.47</v>
      </c>
      <c r="AN36">
        <v>9.4600000000000009</v>
      </c>
      <c r="AO36">
        <v>-2.35</v>
      </c>
    </row>
    <row r="37" spans="1:43" x14ac:dyDescent="0.2">
      <c r="A37">
        <v>175</v>
      </c>
      <c r="B37">
        <v>76.25</v>
      </c>
      <c r="C37">
        <v>55.41</v>
      </c>
      <c r="D37">
        <v>50.22</v>
      </c>
      <c r="E37">
        <v>52</v>
      </c>
      <c r="F37">
        <v>62.55</v>
      </c>
      <c r="G37">
        <v>75</v>
      </c>
      <c r="H37">
        <v>58.62</v>
      </c>
      <c r="I37">
        <v>67.3</v>
      </c>
      <c r="J37">
        <v>81.540000000000006</v>
      </c>
      <c r="K37">
        <v>54.75</v>
      </c>
      <c r="L37">
        <v>71.790000000000006</v>
      </c>
      <c r="M37">
        <v>66.81</v>
      </c>
      <c r="N37">
        <v>71.17</v>
      </c>
      <c r="O37">
        <v>59.49</v>
      </c>
      <c r="P37">
        <v>61.66</v>
      </c>
      <c r="Q37">
        <v>64.75</v>
      </c>
      <c r="R37">
        <v>57.97</v>
      </c>
      <c r="S37">
        <v>62.93</v>
      </c>
      <c r="T37">
        <v>72.33</v>
      </c>
      <c r="U37">
        <v>65.87</v>
      </c>
      <c r="V37">
        <v>-17.86</v>
      </c>
      <c r="W37">
        <v>-27.14</v>
      </c>
      <c r="X37">
        <v>-24.05</v>
      </c>
      <c r="Y37">
        <v>-56.95</v>
      </c>
      <c r="Z37">
        <v>-12.01</v>
      </c>
      <c r="AA37">
        <v>-28.07</v>
      </c>
      <c r="AB37">
        <v>-34.35</v>
      </c>
      <c r="AC37">
        <v>-0.52</v>
      </c>
      <c r="AD37">
        <v>-16.29</v>
      </c>
      <c r="AE37">
        <v>-24.75</v>
      </c>
      <c r="AF37">
        <v>11.71</v>
      </c>
      <c r="AG37">
        <v>-13.87</v>
      </c>
      <c r="AH37">
        <v>11.05</v>
      </c>
      <c r="AI37">
        <v>-25.52</v>
      </c>
      <c r="AJ37">
        <v>19.010000000000002</v>
      </c>
      <c r="AK37">
        <v>13.32</v>
      </c>
      <c r="AL37">
        <v>14.43</v>
      </c>
      <c r="AM37">
        <v>28.83</v>
      </c>
      <c r="AN37">
        <v>9.1300000000000008</v>
      </c>
      <c r="AO37">
        <v>-1.59</v>
      </c>
    </row>
    <row r="38" spans="1:43" x14ac:dyDescent="0.2">
      <c r="A38">
        <v>180</v>
      </c>
      <c r="B38">
        <v>76.91</v>
      </c>
      <c r="C38">
        <v>55.73</v>
      </c>
      <c r="D38">
        <v>51.62</v>
      </c>
      <c r="E38">
        <v>47.99</v>
      </c>
      <c r="F38">
        <v>59.54</v>
      </c>
      <c r="G38">
        <v>74.77</v>
      </c>
      <c r="H38">
        <v>57.78</v>
      </c>
      <c r="I38">
        <v>66.5</v>
      </c>
      <c r="J38">
        <v>81.790000000000006</v>
      </c>
      <c r="K38">
        <v>53.19</v>
      </c>
      <c r="L38">
        <v>71.5</v>
      </c>
      <c r="M38">
        <v>66.28</v>
      </c>
      <c r="N38">
        <v>70.16</v>
      </c>
      <c r="O38">
        <v>59.04</v>
      </c>
      <c r="P38">
        <v>60.23</v>
      </c>
      <c r="Q38">
        <v>64.11</v>
      </c>
      <c r="R38">
        <v>56.23</v>
      </c>
      <c r="S38">
        <v>64.06</v>
      </c>
      <c r="T38">
        <v>71.81</v>
      </c>
      <c r="U38">
        <v>65.8</v>
      </c>
      <c r="V38">
        <v>-17.739999999999998</v>
      </c>
      <c r="W38">
        <v>-27.68</v>
      </c>
      <c r="X38">
        <v>-24.9</v>
      </c>
      <c r="Y38">
        <v>-59.56</v>
      </c>
      <c r="Z38">
        <v>-13.69</v>
      </c>
      <c r="AA38">
        <v>-28.43</v>
      </c>
      <c r="AB38">
        <v>-33.97</v>
      </c>
      <c r="AC38">
        <v>-1.57</v>
      </c>
      <c r="AD38">
        <v>-17.28</v>
      </c>
      <c r="AE38">
        <v>-25.42</v>
      </c>
      <c r="AF38">
        <v>12.07</v>
      </c>
      <c r="AG38">
        <v>-15.76</v>
      </c>
      <c r="AH38">
        <v>11.7</v>
      </c>
      <c r="AI38">
        <v>-25.74</v>
      </c>
      <c r="AJ38">
        <v>20.37</v>
      </c>
      <c r="AK38">
        <v>13.37</v>
      </c>
      <c r="AL38">
        <v>13.92</v>
      </c>
      <c r="AM38">
        <v>29.34</v>
      </c>
      <c r="AN38">
        <v>9.56</v>
      </c>
      <c r="AO38">
        <v>-0.46</v>
      </c>
    </row>
    <row r="39" spans="1:43" x14ac:dyDescent="0.2">
      <c r="A39">
        <v>185</v>
      </c>
      <c r="B39">
        <v>76.650000000000006</v>
      </c>
      <c r="C39">
        <v>54.1</v>
      </c>
      <c r="D39">
        <v>51.89</v>
      </c>
      <c r="E39">
        <v>43.92</v>
      </c>
      <c r="F39">
        <v>61.12</v>
      </c>
      <c r="G39">
        <v>72.81</v>
      </c>
      <c r="H39">
        <v>57.06</v>
      </c>
      <c r="I39">
        <v>66.45</v>
      </c>
      <c r="J39">
        <v>81.34</v>
      </c>
      <c r="K39">
        <v>52.85</v>
      </c>
      <c r="L39">
        <v>71</v>
      </c>
      <c r="M39">
        <v>65.709999999999994</v>
      </c>
      <c r="N39">
        <v>69.400000000000006</v>
      </c>
      <c r="O39">
        <v>57.37</v>
      </c>
      <c r="P39">
        <v>59.31</v>
      </c>
      <c r="Q39">
        <v>64.180000000000007</v>
      </c>
      <c r="R39">
        <v>53.67</v>
      </c>
      <c r="S39">
        <v>61.81</v>
      </c>
      <c r="T39">
        <v>70.23</v>
      </c>
      <c r="U39">
        <v>65.36</v>
      </c>
      <c r="V39">
        <v>-17.510000000000002</v>
      </c>
      <c r="W39">
        <v>-27.21</v>
      </c>
      <c r="X39">
        <v>-27.32</v>
      </c>
      <c r="Y39">
        <v>-63.91</v>
      </c>
      <c r="Z39">
        <v>-13.28</v>
      </c>
      <c r="AA39">
        <v>-30.24</v>
      </c>
      <c r="AB39">
        <v>-34.19</v>
      </c>
      <c r="AC39">
        <v>-1.75</v>
      </c>
      <c r="AD39">
        <v>-18.190000000000001</v>
      </c>
      <c r="AE39">
        <v>-27.1</v>
      </c>
      <c r="AF39">
        <v>11.86</v>
      </c>
      <c r="AG39">
        <v>-15.94</v>
      </c>
      <c r="AH39">
        <v>11.88</v>
      </c>
      <c r="AI39">
        <v>-29.21</v>
      </c>
      <c r="AJ39">
        <v>20.9</v>
      </c>
      <c r="AK39">
        <v>13.22</v>
      </c>
      <c r="AL39">
        <v>15.57</v>
      </c>
      <c r="AM39">
        <v>29.54</v>
      </c>
      <c r="AN39">
        <v>9.27</v>
      </c>
      <c r="AO39">
        <v>-0.89</v>
      </c>
    </row>
    <row r="40" spans="1:43" x14ac:dyDescent="0.2">
      <c r="A40">
        <v>190</v>
      </c>
      <c r="B40">
        <v>77.150000000000006</v>
      </c>
      <c r="C40">
        <v>54.39</v>
      </c>
      <c r="D40">
        <v>53.22</v>
      </c>
      <c r="E40">
        <v>41.9</v>
      </c>
      <c r="F40">
        <v>59.89</v>
      </c>
      <c r="G40">
        <v>72.11</v>
      </c>
      <c r="H40">
        <v>56.44</v>
      </c>
      <c r="I40">
        <v>66.040000000000006</v>
      </c>
      <c r="J40">
        <v>81.069999999999993</v>
      </c>
      <c r="K40">
        <v>50.72</v>
      </c>
      <c r="L40">
        <v>70.62</v>
      </c>
      <c r="M40">
        <v>64.02</v>
      </c>
      <c r="N40">
        <v>69.260000000000005</v>
      </c>
      <c r="O40">
        <v>56.82</v>
      </c>
      <c r="P40">
        <v>59.85</v>
      </c>
      <c r="Q40">
        <v>64.430000000000007</v>
      </c>
      <c r="R40">
        <v>52.64</v>
      </c>
      <c r="S40">
        <v>61.68</v>
      </c>
      <c r="T40">
        <v>69.63</v>
      </c>
      <c r="U40">
        <v>65.680000000000007</v>
      </c>
      <c r="V40">
        <v>-18.55</v>
      </c>
      <c r="W40">
        <v>-27.29</v>
      </c>
      <c r="X40">
        <v>-26.68</v>
      </c>
      <c r="Y40">
        <v>-65.77</v>
      </c>
      <c r="Z40">
        <v>-13.93</v>
      </c>
      <c r="AA40">
        <v>-32.68</v>
      </c>
      <c r="AB40">
        <v>-34.61</v>
      </c>
      <c r="AC40">
        <v>-3.48</v>
      </c>
      <c r="AD40">
        <v>-19.38</v>
      </c>
      <c r="AE40">
        <v>-28.05</v>
      </c>
      <c r="AF40">
        <v>11.95</v>
      </c>
      <c r="AG40">
        <v>-16</v>
      </c>
      <c r="AH40">
        <v>12.41</v>
      </c>
      <c r="AI40">
        <v>-31.47</v>
      </c>
      <c r="AJ40">
        <v>19.71</v>
      </c>
      <c r="AK40">
        <v>12.89</v>
      </c>
      <c r="AL40">
        <v>17.27</v>
      </c>
      <c r="AM40">
        <v>30.12</v>
      </c>
      <c r="AN40">
        <v>7.59</v>
      </c>
      <c r="AO40">
        <v>-0.16</v>
      </c>
    </row>
    <row r="41" spans="1:43" x14ac:dyDescent="0.2">
      <c r="A41">
        <v>195</v>
      </c>
      <c r="B41">
        <v>76.569999999999993</v>
      </c>
      <c r="C41">
        <v>52.28</v>
      </c>
      <c r="D41">
        <v>51.22</v>
      </c>
      <c r="E41">
        <v>39.450000000000003</v>
      </c>
      <c r="F41">
        <v>60.36</v>
      </c>
      <c r="G41">
        <v>71.91</v>
      </c>
      <c r="H41">
        <v>56.84</v>
      </c>
      <c r="I41">
        <v>62.09</v>
      </c>
      <c r="J41">
        <v>80.58</v>
      </c>
      <c r="K41">
        <v>51.05</v>
      </c>
      <c r="L41">
        <v>68.92</v>
      </c>
      <c r="M41">
        <v>63.06</v>
      </c>
      <c r="N41">
        <v>68.81</v>
      </c>
      <c r="O41">
        <v>55.89</v>
      </c>
      <c r="P41">
        <v>59.8</v>
      </c>
      <c r="Q41">
        <v>63.66</v>
      </c>
      <c r="R41">
        <v>51.06</v>
      </c>
      <c r="S41">
        <v>61.7</v>
      </c>
      <c r="T41">
        <v>68.680000000000007</v>
      </c>
      <c r="U41">
        <v>65.75</v>
      </c>
      <c r="V41">
        <v>-18.309999999999999</v>
      </c>
      <c r="W41">
        <v>-29.4</v>
      </c>
      <c r="X41">
        <v>-25.93</v>
      </c>
      <c r="Y41">
        <v>-68.36</v>
      </c>
      <c r="Z41">
        <v>-15.69</v>
      </c>
      <c r="AA41">
        <v>-33.299999999999997</v>
      </c>
      <c r="AB41">
        <v>-36.82</v>
      </c>
      <c r="AC41">
        <v>-2.61</v>
      </c>
      <c r="AD41">
        <v>-19.52</v>
      </c>
      <c r="AE41">
        <v>-29.74</v>
      </c>
      <c r="AF41">
        <v>11.95</v>
      </c>
      <c r="AG41">
        <v>-15.79</v>
      </c>
      <c r="AH41">
        <v>12.56</v>
      </c>
      <c r="AI41">
        <v>-34.11</v>
      </c>
      <c r="AJ41">
        <v>19.350000000000001</v>
      </c>
      <c r="AK41">
        <v>13.01</v>
      </c>
      <c r="AL41">
        <v>18.010000000000002</v>
      </c>
      <c r="AM41">
        <v>30.39</v>
      </c>
      <c r="AN41">
        <v>6.33</v>
      </c>
      <c r="AO41">
        <v>-0.97</v>
      </c>
    </row>
    <row r="43" spans="1:43" x14ac:dyDescent="0.2">
      <c r="J43">
        <f>AVERAGE(B2:K2)</f>
        <v>90</v>
      </c>
      <c r="K43">
        <f>STDEV(B2:K2)</f>
        <v>0</v>
      </c>
      <c r="L43">
        <f>J43-K43/SQRT(10)*1.96</f>
        <v>90</v>
      </c>
      <c r="M43">
        <f>J43+K43/SQRT(10)*1.96</f>
        <v>90</v>
      </c>
      <c r="N43">
        <f>K43/SQRT(10)</f>
        <v>0</v>
      </c>
      <c r="T43">
        <f>AVERAGE(L2:U2)</f>
        <v>90</v>
      </c>
      <c r="U43">
        <f>STDEV(L2:U2)</f>
        <v>0</v>
      </c>
      <c r="V43">
        <f>T43-U43/SQRT(10)*1.96</f>
        <v>90</v>
      </c>
      <c r="W43">
        <f>T43+U43/SQRT(10)*1.96</f>
        <v>90</v>
      </c>
      <c r="AD43">
        <f>AVERAGE(V2:AE2)</f>
        <v>0</v>
      </c>
      <c r="AE43">
        <f>STDEV(V2:AE2)</f>
        <v>0</v>
      </c>
      <c r="AF43">
        <f>AD43-AE43/SQRT(10)*1.96</f>
        <v>0</v>
      </c>
      <c r="AG43">
        <f>AD43+AE43/SQRT(10)*1.96</f>
        <v>0</v>
      </c>
      <c r="AN43">
        <f>AVERAGE(AF2:AO2)</f>
        <v>0</v>
      </c>
      <c r="AO43">
        <f>STDEV(AF2:AO2)</f>
        <v>0</v>
      </c>
      <c r="AP43">
        <f>AN43-AO43/SQRT(10)*1.96</f>
        <v>0</v>
      </c>
      <c r="AQ43">
        <f>AN43+AO43/SQRT(10)*1.96</f>
        <v>0</v>
      </c>
    </row>
    <row r="44" spans="1:43" x14ac:dyDescent="0.2">
      <c r="J44">
        <f t="shared" ref="J44:J82" si="0">AVERAGE(B3:K3)</f>
        <v>91.582999999999998</v>
      </c>
      <c r="K44">
        <f t="shared" ref="K44:K82" si="1">STDEV(B3:K3)</f>
        <v>1.6124863479180931</v>
      </c>
      <c r="L44">
        <f t="shared" ref="L44:L82" si="2">J44-K44/SQRT(10)*1.96</f>
        <v>90.583570607151813</v>
      </c>
      <c r="M44">
        <f t="shared" ref="M44:M82" si="3">J44+K44/SQRT(10)*1.96</f>
        <v>92.582429392848184</v>
      </c>
      <c r="N44">
        <f t="shared" ref="N44:N82" si="4">K44/SQRT(10)</f>
        <v>0.50991295553478821</v>
      </c>
      <c r="T44">
        <f t="shared" ref="T44:T82" si="5">AVERAGE(L3:U3)</f>
        <v>90.989000000000004</v>
      </c>
      <c r="U44">
        <f t="shared" ref="U44:U82" si="6">STDEV(L3:U3)</f>
        <v>0.9155502292185943</v>
      </c>
      <c r="V44">
        <f t="shared" ref="V44:V82" si="7">T44-U44/SQRT(10)*1.96</f>
        <v>90.421536088822478</v>
      </c>
      <c r="W44">
        <f t="shared" ref="W44:W82" si="8">T44+U44/SQRT(10)*1.96</f>
        <v>91.556463911177531</v>
      </c>
      <c r="AD44">
        <f t="shared" ref="AD44:AD82" si="9">AVERAGE(V3:AE3)</f>
        <v>-0.77600000000000002</v>
      </c>
      <c r="AE44">
        <f t="shared" ref="AE44:AE82" si="10">STDEV(V3:AE3)</f>
        <v>3.4262327870579825</v>
      </c>
      <c r="AF44">
        <f t="shared" ref="AF44:AF82" si="11">AD44-AE44/SQRT(10)*1.96</f>
        <v>-2.8996010826057805</v>
      </c>
      <c r="AG44">
        <f t="shared" ref="AG44:AG82" si="12">AD44+AE44/SQRT(10)*1.96</f>
        <v>1.3476010826057807</v>
      </c>
      <c r="AN44">
        <f t="shared" ref="AN44:AN82" si="13">AVERAGE(AF3:AO3)</f>
        <v>-0.56300000000000006</v>
      </c>
      <c r="AO44">
        <f t="shared" ref="AO44:AO82" si="14">STDEV(AF3:AO3)</f>
        <v>2.3562024531011758</v>
      </c>
      <c r="AP44">
        <f t="shared" ref="AP44:AP82" si="15">AN44-AO44/SQRT(10)*1.96</f>
        <v>-2.0233894105340529</v>
      </c>
      <c r="AQ44">
        <f t="shared" ref="AQ44:AQ82" si="16">AN44+AO44/SQRT(10)*1.96</f>
        <v>0.89738941053405286</v>
      </c>
    </row>
    <row r="45" spans="1:43" x14ac:dyDescent="0.2">
      <c r="J45">
        <f t="shared" si="0"/>
        <v>90.396000000000001</v>
      </c>
      <c r="K45">
        <f t="shared" si="1"/>
        <v>3.8221494825119908</v>
      </c>
      <c r="L45">
        <f t="shared" si="2"/>
        <v>88.027007207215135</v>
      </c>
      <c r="M45">
        <f t="shared" si="3"/>
        <v>92.764992792784867</v>
      </c>
      <c r="N45">
        <f t="shared" si="4"/>
        <v>1.2086697922371799</v>
      </c>
      <c r="T45">
        <f t="shared" si="5"/>
        <v>90.471000000000004</v>
      </c>
      <c r="U45">
        <f t="shared" si="6"/>
        <v>2.0805952673854371</v>
      </c>
      <c r="V45">
        <f t="shared" si="7"/>
        <v>89.181433692954613</v>
      </c>
      <c r="W45">
        <f t="shared" si="8"/>
        <v>91.760566307045394</v>
      </c>
      <c r="AD45">
        <f t="shared" si="9"/>
        <v>-1.048</v>
      </c>
      <c r="AE45">
        <f t="shared" si="10"/>
        <v>6.1672878966365756</v>
      </c>
      <c r="AF45">
        <f t="shared" si="11"/>
        <v>-4.8705246409146925</v>
      </c>
      <c r="AG45">
        <f t="shared" si="12"/>
        <v>2.7745246409146924</v>
      </c>
      <c r="AN45">
        <f t="shared" si="13"/>
        <v>-1.0010000000000001</v>
      </c>
      <c r="AO45">
        <f t="shared" si="14"/>
        <v>3.5268791681409599</v>
      </c>
      <c r="AP45">
        <f t="shared" si="15"/>
        <v>-3.1869823558909776</v>
      </c>
      <c r="AQ45">
        <f t="shared" si="16"/>
        <v>1.1849823558909771</v>
      </c>
    </row>
    <row r="46" spans="1:43" x14ac:dyDescent="0.2">
      <c r="J46">
        <f t="shared" si="0"/>
        <v>89.513000000000005</v>
      </c>
      <c r="K46">
        <f t="shared" si="1"/>
        <v>4.1033619007941393</v>
      </c>
      <c r="L46">
        <f t="shared" si="2"/>
        <v>86.969709944588402</v>
      </c>
      <c r="M46">
        <f t="shared" si="3"/>
        <v>92.056290055411608</v>
      </c>
      <c r="N46">
        <f t="shared" si="4"/>
        <v>1.2975969670467364</v>
      </c>
      <c r="T46">
        <f t="shared" si="5"/>
        <v>90.018000000000001</v>
      </c>
      <c r="U46">
        <f t="shared" si="6"/>
        <v>2.7525979647517653</v>
      </c>
      <c r="V46">
        <f t="shared" si="7"/>
        <v>88.311922105933547</v>
      </c>
      <c r="W46">
        <f t="shared" si="8"/>
        <v>91.724077894066454</v>
      </c>
      <c r="AD46">
        <f t="shared" si="9"/>
        <v>-0.73399999999999987</v>
      </c>
      <c r="AE46">
        <f t="shared" si="10"/>
        <v>7.4122559169107065</v>
      </c>
      <c r="AF46">
        <f t="shared" si="11"/>
        <v>-5.3281638143095318</v>
      </c>
      <c r="AG46">
        <f t="shared" si="12"/>
        <v>3.8601638143095318</v>
      </c>
      <c r="AN46">
        <f t="shared" si="13"/>
        <v>-0.28999999999999992</v>
      </c>
      <c r="AO46">
        <f t="shared" si="14"/>
        <v>2.9110441044027104</v>
      </c>
      <c r="AP46">
        <f t="shared" si="15"/>
        <v>-2.0942838288670411</v>
      </c>
      <c r="AQ46">
        <f t="shared" si="16"/>
        <v>1.5142838288670415</v>
      </c>
    </row>
    <row r="47" spans="1:43" x14ac:dyDescent="0.2">
      <c r="J47">
        <f t="shared" si="0"/>
        <v>89.09099999999998</v>
      </c>
      <c r="K47">
        <f t="shared" si="1"/>
        <v>3.7507494066001139</v>
      </c>
      <c r="L47">
        <f t="shared" si="2"/>
        <v>86.76626143275324</v>
      </c>
      <c r="M47">
        <f t="shared" si="3"/>
        <v>91.41573856724672</v>
      </c>
      <c r="N47">
        <f t="shared" si="4"/>
        <v>1.1860911057381345</v>
      </c>
      <c r="T47">
        <f t="shared" si="5"/>
        <v>90.24799999999999</v>
      </c>
      <c r="U47">
        <f t="shared" si="6"/>
        <v>2.2844926497291813</v>
      </c>
      <c r="V47">
        <f t="shared" si="7"/>
        <v>88.832056786072727</v>
      </c>
      <c r="W47">
        <f t="shared" si="8"/>
        <v>91.663943213927254</v>
      </c>
      <c r="AD47">
        <f t="shared" si="9"/>
        <v>-0.31500000000000006</v>
      </c>
      <c r="AE47">
        <f t="shared" si="10"/>
        <v>7.5173802322056025</v>
      </c>
      <c r="AF47">
        <f t="shared" si="11"/>
        <v>-4.9743205399738519</v>
      </c>
      <c r="AG47">
        <f t="shared" si="12"/>
        <v>4.3443205399738511</v>
      </c>
      <c r="AN47">
        <f t="shared" si="13"/>
        <v>0.66399999999999992</v>
      </c>
      <c r="AO47">
        <f t="shared" si="14"/>
        <v>4.2504854624697472</v>
      </c>
      <c r="AP47">
        <f t="shared" si="15"/>
        <v>-1.9704781836763543</v>
      </c>
      <c r="AQ47">
        <f t="shared" si="16"/>
        <v>3.2984781836763544</v>
      </c>
    </row>
    <row r="48" spans="1:43" x14ac:dyDescent="0.2">
      <c r="J48">
        <f t="shared" si="0"/>
        <v>88.844999999999999</v>
      </c>
      <c r="K48">
        <f t="shared" si="1"/>
        <v>4.9190677752779335</v>
      </c>
      <c r="L48">
        <f t="shared" si="2"/>
        <v>85.796130205615341</v>
      </c>
      <c r="M48">
        <f t="shared" si="3"/>
        <v>91.893869794384656</v>
      </c>
      <c r="N48">
        <f t="shared" si="4"/>
        <v>1.5555458134615578</v>
      </c>
      <c r="T48">
        <f t="shared" si="5"/>
        <v>90.22</v>
      </c>
      <c r="U48">
        <f t="shared" si="6"/>
        <v>1.7369065733206397</v>
      </c>
      <c r="V48">
        <f t="shared" si="7"/>
        <v>89.143454152496147</v>
      </c>
      <c r="W48">
        <f t="shared" si="8"/>
        <v>91.29654584750385</v>
      </c>
      <c r="AD48">
        <f t="shared" si="9"/>
        <v>6.1999999999999833E-2</v>
      </c>
      <c r="AE48">
        <f t="shared" si="10"/>
        <v>7.9547593021759972</v>
      </c>
      <c r="AF48">
        <f t="shared" si="11"/>
        <v>-4.8684108961244004</v>
      </c>
      <c r="AG48">
        <f t="shared" si="12"/>
        <v>4.9924108961244009</v>
      </c>
      <c r="AN48">
        <f t="shared" si="13"/>
        <v>0.84499999999999997</v>
      </c>
      <c r="AO48">
        <f t="shared" si="14"/>
        <v>4.4424774119353216</v>
      </c>
      <c r="AP48">
        <f t="shared" si="15"/>
        <v>-1.9084760268108785</v>
      </c>
      <c r="AQ48">
        <f t="shared" si="16"/>
        <v>3.5984760268108786</v>
      </c>
    </row>
    <row r="49" spans="10:43" x14ac:dyDescent="0.2">
      <c r="J49">
        <f t="shared" si="0"/>
        <v>88.228999999999999</v>
      </c>
      <c r="K49">
        <f t="shared" si="1"/>
        <v>5.0843932228383402</v>
      </c>
      <c r="L49">
        <f t="shared" si="2"/>
        <v>85.077660431597735</v>
      </c>
      <c r="M49">
        <f t="shared" si="3"/>
        <v>91.380339568402263</v>
      </c>
      <c r="N49">
        <f t="shared" si="4"/>
        <v>1.6078263104093191</v>
      </c>
      <c r="T49">
        <f t="shared" si="5"/>
        <v>89.742000000000004</v>
      </c>
      <c r="U49">
        <f t="shared" si="6"/>
        <v>2.2027497966556866</v>
      </c>
      <c r="V49">
        <f t="shared" si="7"/>
        <v>88.376721531310679</v>
      </c>
      <c r="W49">
        <f t="shared" si="8"/>
        <v>91.10727846868933</v>
      </c>
      <c r="AD49">
        <f t="shared" si="9"/>
        <v>-0.44799999999999984</v>
      </c>
      <c r="AE49">
        <f t="shared" si="10"/>
        <v>7.1771222954917269</v>
      </c>
      <c r="AF49">
        <f t="shared" si="11"/>
        <v>-4.8964264858686564</v>
      </c>
      <c r="AG49">
        <f t="shared" si="12"/>
        <v>4.0004264858686573</v>
      </c>
      <c r="AN49">
        <f t="shared" si="13"/>
        <v>0.14599999999999982</v>
      </c>
      <c r="AO49">
        <f t="shared" si="14"/>
        <v>4.706641170846904</v>
      </c>
      <c r="AP49">
        <f t="shared" si="15"/>
        <v>-2.77120642088359</v>
      </c>
      <c r="AQ49">
        <f t="shared" si="16"/>
        <v>3.0632064208835899</v>
      </c>
    </row>
    <row r="50" spans="10:43" x14ac:dyDescent="0.2">
      <c r="J50">
        <f t="shared" si="0"/>
        <v>86.987000000000009</v>
      </c>
      <c r="K50">
        <f t="shared" si="1"/>
        <v>5.2713334808819186</v>
      </c>
      <c r="L50">
        <f t="shared" si="2"/>
        <v>83.719793659245468</v>
      </c>
      <c r="M50">
        <f t="shared" si="3"/>
        <v>90.25420634075455</v>
      </c>
      <c r="N50">
        <f t="shared" si="4"/>
        <v>1.6669420105890511</v>
      </c>
      <c r="T50">
        <f t="shared" si="5"/>
        <v>88.931999999999988</v>
      </c>
      <c r="U50">
        <f t="shared" si="6"/>
        <v>3.027378036813007</v>
      </c>
      <c r="V50">
        <f t="shared" si="7"/>
        <v>87.055611652799143</v>
      </c>
      <c r="W50">
        <f t="shared" si="8"/>
        <v>90.808388347200832</v>
      </c>
      <c r="AD50">
        <f t="shared" si="9"/>
        <v>-2.1019999999999994</v>
      </c>
      <c r="AE50">
        <f t="shared" si="10"/>
        <v>7.7119918165009604</v>
      </c>
      <c r="AF50">
        <f t="shared" si="11"/>
        <v>-6.8819420495975789</v>
      </c>
      <c r="AG50">
        <f t="shared" si="12"/>
        <v>2.6779420495975801</v>
      </c>
      <c r="AN50">
        <f t="shared" si="13"/>
        <v>0.28000000000000014</v>
      </c>
      <c r="AO50">
        <f t="shared" si="14"/>
        <v>4.5976080737705338</v>
      </c>
      <c r="AP50">
        <f t="shared" si="15"/>
        <v>-2.5696270071712886</v>
      </c>
      <c r="AQ50">
        <f t="shared" si="16"/>
        <v>3.1296270071712891</v>
      </c>
    </row>
    <row r="51" spans="10:43" x14ac:dyDescent="0.2">
      <c r="J51">
        <f t="shared" si="0"/>
        <v>85.765999999999991</v>
      </c>
      <c r="K51">
        <f t="shared" si="1"/>
        <v>6.0687289535051008</v>
      </c>
      <c r="L51">
        <f t="shared" si="2"/>
        <v>82.004562824923894</v>
      </c>
      <c r="M51">
        <f t="shared" si="3"/>
        <v>89.527437175076088</v>
      </c>
      <c r="N51">
        <f t="shared" si="4"/>
        <v>1.9191005995286206</v>
      </c>
      <c r="T51">
        <f t="shared" si="5"/>
        <v>87.820999999999998</v>
      </c>
      <c r="U51">
        <f t="shared" si="6"/>
        <v>2.9802216546946805</v>
      </c>
      <c r="V51">
        <f t="shared" si="7"/>
        <v>85.973839481245761</v>
      </c>
      <c r="W51">
        <f t="shared" si="8"/>
        <v>89.668160518754235</v>
      </c>
      <c r="AD51">
        <f t="shared" si="9"/>
        <v>-2.1869999999999998</v>
      </c>
      <c r="AE51">
        <f t="shared" si="10"/>
        <v>7.9463409469040798</v>
      </c>
      <c r="AF51">
        <f t="shared" si="11"/>
        <v>-7.1121931454692984</v>
      </c>
      <c r="AG51">
        <f t="shared" si="12"/>
        <v>2.7381931454692992</v>
      </c>
      <c r="AN51">
        <f t="shared" si="13"/>
        <v>1.1849999999999998</v>
      </c>
      <c r="AO51">
        <f t="shared" si="14"/>
        <v>4.7529178172758026</v>
      </c>
      <c r="AP51">
        <f t="shared" si="15"/>
        <v>-1.7608889835007548</v>
      </c>
      <c r="AQ51">
        <f t="shared" si="16"/>
        <v>4.1308889835007543</v>
      </c>
    </row>
    <row r="52" spans="10:43" x14ac:dyDescent="0.2">
      <c r="J52">
        <f t="shared" si="0"/>
        <v>85.167000000000002</v>
      </c>
      <c r="K52">
        <f t="shared" si="1"/>
        <v>6.9629081567977043</v>
      </c>
      <c r="L52">
        <f t="shared" si="2"/>
        <v>80.851344812847074</v>
      </c>
      <c r="M52">
        <f t="shared" si="3"/>
        <v>89.482655187152929</v>
      </c>
      <c r="N52">
        <f t="shared" si="4"/>
        <v>2.2018648914045564</v>
      </c>
      <c r="T52">
        <f t="shared" si="5"/>
        <v>87.468999999999994</v>
      </c>
      <c r="U52">
        <f t="shared" si="6"/>
        <v>2.3466593276400376</v>
      </c>
      <c r="V52">
        <f t="shared" si="7"/>
        <v>86.014525479906908</v>
      </c>
      <c r="W52">
        <f t="shared" si="8"/>
        <v>88.92347452009308</v>
      </c>
      <c r="AD52">
        <f t="shared" si="9"/>
        <v>-2.8899999999999997</v>
      </c>
      <c r="AE52">
        <f t="shared" si="10"/>
        <v>7.6678636746706275</v>
      </c>
      <c r="AF52">
        <f t="shared" si="11"/>
        <v>-7.6425911439269969</v>
      </c>
      <c r="AG52">
        <f t="shared" si="12"/>
        <v>1.8625911439269975</v>
      </c>
      <c r="AN52">
        <f t="shared" si="13"/>
        <v>0.91099999999999992</v>
      </c>
      <c r="AO52">
        <f t="shared" si="14"/>
        <v>5.3002986289034277</v>
      </c>
      <c r="AP52">
        <f t="shared" si="15"/>
        <v>-2.3741591254948702</v>
      </c>
      <c r="AQ52">
        <f t="shared" si="16"/>
        <v>4.1961591254948702</v>
      </c>
    </row>
    <row r="53" spans="10:43" x14ac:dyDescent="0.2">
      <c r="J53">
        <f t="shared" si="0"/>
        <v>84.724000000000004</v>
      </c>
      <c r="K53">
        <f t="shared" si="1"/>
        <v>7.1045450241377193</v>
      </c>
      <c r="L53">
        <f t="shared" si="2"/>
        <v>80.320557372963748</v>
      </c>
      <c r="M53">
        <f t="shared" si="3"/>
        <v>89.12744262703626</v>
      </c>
      <c r="N53">
        <f t="shared" si="4"/>
        <v>2.2466544015491126</v>
      </c>
      <c r="T53">
        <f t="shared" si="5"/>
        <v>87.073999999999998</v>
      </c>
      <c r="U53">
        <f t="shared" si="6"/>
        <v>2.9431321184524948</v>
      </c>
      <c r="V53">
        <f t="shared" si="7"/>
        <v>85.249827813975145</v>
      </c>
      <c r="W53">
        <f t="shared" si="8"/>
        <v>88.898172186024851</v>
      </c>
      <c r="AD53">
        <f t="shared" si="9"/>
        <v>-2.7759999999999998</v>
      </c>
      <c r="AE53">
        <f t="shared" si="10"/>
        <v>7.8654917201660055</v>
      </c>
      <c r="AF53">
        <f t="shared" si="11"/>
        <v>-7.6510822755723815</v>
      </c>
      <c r="AG53">
        <f t="shared" si="12"/>
        <v>2.0990822755723819</v>
      </c>
      <c r="AN53">
        <f t="shared" si="13"/>
        <v>0.66800000000000015</v>
      </c>
      <c r="AO53">
        <f t="shared" si="14"/>
        <v>6.2318925251037856</v>
      </c>
      <c r="AP53">
        <f t="shared" si="15"/>
        <v>-3.194567004490378</v>
      </c>
      <c r="AQ53">
        <f t="shared" si="16"/>
        <v>4.5305670044903783</v>
      </c>
    </row>
    <row r="54" spans="10:43" x14ac:dyDescent="0.2">
      <c r="J54">
        <f t="shared" si="0"/>
        <v>84.214000000000013</v>
      </c>
      <c r="K54">
        <f t="shared" si="1"/>
        <v>7.2479732032862483</v>
      </c>
      <c r="L54">
        <f t="shared" si="2"/>
        <v>79.721659666518789</v>
      </c>
      <c r="M54">
        <f t="shared" si="3"/>
        <v>88.706340333481236</v>
      </c>
      <c r="N54">
        <f t="shared" si="4"/>
        <v>2.2920103742251148</v>
      </c>
      <c r="T54">
        <f t="shared" si="5"/>
        <v>85.914000000000001</v>
      </c>
      <c r="U54">
        <f t="shared" si="6"/>
        <v>4.00859964465287</v>
      </c>
      <c r="V54">
        <f t="shared" si="7"/>
        <v>83.429444199450444</v>
      </c>
      <c r="W54">
        <f t="shared" si="8"/>
        <v>88.398555800549559</v>
      </c>
      <c r="AD54">
        <f t="shared" si="9"/>
        <v>-3.3329999999999997</v>
      </c>
      <c r="AE54">
        <f t="shared" si="10"/>
        <v>7.9631471305145558</v>
      </c>
      <c r="AF54">
        <f t="shared" si="11"/>
        <v>-8.2686097259901814</v>
      </c>
      <c r="AG54">
        <f t="shared" si="12"/>
        <v>1.6026097259901824</v>
      </c>
      <c r="AN54">
        <f t="shared" si="13"/>
        <v>0.59300000000000019</v>
      </c>
      <c r="AO54">
        <f t="shared" si="14"/>
        <v>7.5204270712063517</v>
      </c>
      <c r="AP54">
        <f t="shared" si="15"/>
        <v>-4.068208990351466</v>
      </c>
      <c r="AQ54">
        <f t="shared" si="16"/>
        <v>5.2542089903514659</v>
      </c>
    </row>
    <row r="55" spans="10:43" x14ac:dyDescent="0.2">
      <c r="J55">
        <f t="shared" si="0"/>
        <v>83.941999999999993</v>
      </c>
      <c r="K55">
        <f t="shared" si="1"/>
        <v>7.5584342881901723</v>
      </c>
      <c r="L55">
        <f t="shared" si="2"/>
        <v>79.257233892502683</v>
      </c>
      <c r="M55">
        <f t="shared" si="3"/>
        <v>88.626766107497303</v>
      </c>
      <c r="N55">
        <f t="shared" si="4"/>
        <v>2.3901867895394466</v>
      </c>
      <c r="T55">
        <f t="shared" si="5"/>
        <v>85.009</v>
      </c>
      <c r="U55">
        <f t="shared" si="6"/>
        <v>4.6105879355144186</v>
      </c>
      <c r="V55">
        <f t="shared" si="7"/>
        <v>82.151327991171058</v>
      </c>
      <c r="W55">
        <f t="shared" si="8"/>
        <v>87.866672008828942</v>
      </c>
      <c r="AD55">
        <f t="shared" si="9"/>
        <v>-3.1920000000000002</v>
      </c>
      <c r="AE55">
        <f t="shared" si="10"/>
        <v>8.2811711463751045</v>
      </c>
      <c r="AF55">
        <f t="shared" si="11"/>
        <v>-8.3247230531777401</v>
      </c>
      <c r="AG55">
        <f t="shared" si="12"/>
        <v>1.9407230531777397</v>
      </c>
      <c r="AN55">
        <f t="shared" si="13"/>
        <v>0.7899999999999997</v>
      </c>
      <c r="AO55">
        <f t="shared" si="14"/>
        <v>8.3463138903084371</v>
      </c>
      <c r="AP55">
        <f t="shared" si="15"/>
        <v>-4.3830989441747796</v>
      </c>
      <c r="AQ55">
        <f t="shared" si="16"/>
        <v>5.9630989441747797</v>
      </c>
    </row>
    <row r="56" spans="10:43" x14ac:dyDescent="0.2">
      <c r="J56">
        <f t="shared" si="0"/>
        <v>82.438000000000002</v>
      </c>
      <c r="K56">
        <f t="shared" si="1"/>
        <v>8.2252021927191006</v>
      </c>
      <c r="L56">
        <f t="shared" si="2"/>
        <v>77.339966863696901</v>
      </c>
      <c r="M56">
        <f t="shared" si="3"/>
        <v>87.536033136303104</v>
      </c>
      <c r="N56">
        <f t="shared" si="4"/>
        <v>2.601037314440358</v>
      </c>
      <c r="T56">
        <f t="shared" si="5"/>
        <v>84.043999999999997</v>
      </c>
      <c r="U56">
        <f t="shared" si="6"/>
        <v>4.3425496862762314</v>
      </c>
      <c r="V56">
        <f t="shared" si="7"/>
        <v>81.352459819227818</v>
      </c>
      <c r="W56">
        <f t="shared" si="8"/>
        <v>86.735540180772176</v>
      </c>
      <c r="AD56">
        <f t="shared" si="9"/>
        <v>-4.335</v>
      </c>
      <c r="AE56">
        <f t="shared" si="10"/>
        <v>7.4738540556023993</v>
      </c>
      <c r="AF56">
        <f t="shared" si="11"/>
        <v>-8.9673427362165015</v>
      </c>
      <c r="AG56">
        <f t="shared" si="12"/>
        <v>0.29734273621650065</v>
      </c>
      <c r="AN56">
        <f t="shared" si="13"/>
        <v>1.6580000000000006</v>
      </c>
      <c r="AO56">
        <f t="shared" si="14"/>
        <v>8.3791577407544029</v>
      </c>
      <c r="AP56">
        <f t="shared" si="15"/>
        <v>-3.5354557735844603</v>
      </c>
      <c r="AQ56">
        <f t="shared" si="16"/>
        <v>6.851455773584461</v>
      </c>
    </row>
    <row r="57" spans="10:43" x14ac:dyDescent="0.2">
      <c r="J57">
        <f t="shared" si="0"/>
        <v>80.727000000000004</v>
      </c>
      <c r="K57">
        <f t="shared" si="1"/>
        <v>9.0923900414943937</v>
      </c>
      <c r="L57">
        <f t="shared" si="2"/>
        <v>75.091478266471995</v>
      </c>
      <c r="M57">
        <f t="shared" si="3"/>
        <v>86.362521733528013</v>
      </c>
      <c r="N57">
        <f t="shared" si="4"/>
        <v>2.8752661905755161</v>
      </c>
      <c r="T57">
        <f t="shared" si="5"/>
        <v>82.77000000000001</v>
      </c>
      <c r="U57">
        <f t="shared" si="6"/>
        <v>3.569372805160905</v>
      </c>
      <c r="V57">
        <f t="shared" si="7"/>
        <v>80.557679815015732</v>
      </c>
      <c r="W57">
        <f t="shared" si="8"/>
        <v>84.982320184984289</v>
      </c>
      <c r="AD57">
        <f t="shared" si="9"/>
        <v>-5.1880000000000006</v>
      </c>
      <c r="AE57">
        <f t="shared" si="10"/>
        <v>7.784888210144346</v>
      </c>
      <c r="AF57">
        <f t="shared" si="11"/>
        <v>-10.013123702474143</v>
      </c>
      <c r="AG57">
        <f t="shared" si="12"/>
        <v>-0.36287629752585815</v>
      </c>
      <c r="AN57">
        <f t="shared" si="13"/>
        <v>2.4430000000000005</v>
      </c>
      <c r="AO57">
        <f t="shared" si="14"/>
        <v>8.2610546138694261</v>
      </c>
      <c r="AP57">
        <f t="shared" si="15"/>
        <v>-2.6772546971545594</v>
      </c>
      <c r="AQ57">
        <f t="shared" si="16"/>
        <v>7.5632546971545604</v>
      </c>
    </row>
    <row r="58" spans="10:43" x14ac:dyDescent="0.2">
      <c r="J58">
        <f t="shared" si="0"/>
        <v>79.698999999999998</v>
      </c>
      <c r="K58">
        <f t="shared" si="1"/>
        <v>9.6405030412778938</v>
      </c>
      <c r="L58">
        <f t="shared" si="2"/>
        <v>73.723754309557194</v>
      </c>
      <c r="M58">
        <f t="shared" si="3"/>
        <v>85.674245690442802</v>
      </c>
      <c r="N58">
        <f t="shared" si="4"/>
        <v>3.0485947400218403</v>
      </c>
      <c r="T58">
        <f t="shared" si="5"/>
        <v>82.116000000000014</v>
      </c>
      <c r="U58">
        <f t="shared" si="6"/>
        <v>3.4173290414851438</v>
      </c>
      <c r="V58">
        <f t="shared" si="7"/>
        <v>79.997917516074722</v>
      </c>
      <c r="W58">
        <f t="shared" si="8"/>
        <v>84.234082483925306</v>
      </c>
      <c r="AD58">
        <f t="shared" si="9"/>
        <v>-6.1950000000000003</v>
      </c>
      <c r="AE58">
        <f t="shared" si="10"/>
        <v>7.9916390336679024</v>
      </c>
      <c r="AF58">
        <f t="shared" si="11"/>
        <v>-11.148269190522335</v>
      </c>
      <c r="AG58">
        <f t="shared" si="12"/>
        <v>-1.2417308094776667</v>
      </c>
      <c r="AN58">
        <f t="shared" si="13"/>
        <v>2.1940000000000004</v>
      </c>
      <c r="AO58">
        <f t="shared" si="14"/>
        <v>8.6873166807197215</v>
      </c>
      <c r="AP58">
        <f t="shared" si="15"/>
        <v>-3.1904546633846258</v>
      </c>
      <c r="AQ58">
        <f t="shared" si="16"/>
        <v>7.5784546633846261</v>
      </c>
    </row>
    <row r="59" spans="10:43" x14ac:dyDescent="0.2">
      <c r="J59">
        <f t="shared" si="0"/>
        <v>77.744</v>
      </c>
      <c r="K59">
        <f t="shared" si="1"/>
        <v>9.404617305699702</v>
      </c>
      <c r="L59">
        <f t="shared" si="2"/>
        <v>71.914957803183569</v>
      </c>
      <c r="M59">
        <f t="shared" si="3"/>
        <v>83.573042196816431</v>
      </c>
      <c r="N59">
        <f t="shared" si="4"/>
        <v>2.9740011208247101</v>
      </c>
      <c r="T59">
        <f t="shared" si="5"/>
        <v>81.22</v>
      </c>
      <c r="U59">
        <f t="shared" si="6"/>
        <v>3.5183613610126327</v>
      </c>
      <c r="V59">
        <f t="shared" si="7"/>
        <v>79.039297035663338</v>
      </c>
      <c r="W59">
        <f t="shared" si="8"/>
        <v>83.400702964336659</v>
      </c>
      <c r="AD59">
        <f t="shared" si="9"/>
        <v>-6.6649999999999991</v>
      </c>
      <c r="AE59">
        <f t="shared" si="10"/>
        <v>8.7280012348507121</v>
      </c>
      <c r="AF59">
        <f t="shared" si="11"/>
        <v>-12.074671211286525</v>
      </c>
      <c r="AG59">
        <f t="shared" si="12"/>
        <v>-1.2553287887134745</v>
      </c>
      <c r="AN59">
        <f t="shared" si="13"/>
        <v>2.2989999999999999</v>
      </c>
      <c r="AO59">
        <f t="shared" si="14"/>
        <v>9.0198662838080779</v>
      </c>
      <c r="AP59">
        <f t="shared" si="15"/>
        <v>-3.2915710428104838</v>
      </c>
      <c r="AQ59">
        <f t="shared" si="16"/>
        <v>7.8895710428104842</v>
      </c>
    </row>
    <row r="60" spans="10:43" x14ac:dyDescent="0.2">
      <c r="J60">
        <f t="shared" si="0"/>
        <v>76.257000000000005</v>
      </c>
      <c r="K60">
        <f t="shared" si="1"/>
        <v>9.3648077040232423</v>
      </c>
      <c r="L60">
        <f t="shared" si="2"/>
        <v>70.452632049935744</v>
      </c>
      <c r="M60">
        <f t="shared" si="3"/>
        <v>82.061367950064266</v>
      </c>
      <c r="N60">
        <f t="shared" si="4"/>
        <v>2.9614122194205428</v>
      </c>
      <c r="T60">
        <f t="shared" si="5"/>
        <v>80.210999999999984</v>
      </c>
      <c r="U60">
        <f t="shared" si="6"/>
        <v>3.2996412262884331</v>
      </c>
      <c r="V60">
        <f t="shared" si="7"/>
        <v>78.165861179653334</v>
      </c>
      <c r="W60">
        <f t="shared" si="8"/>
        <v>82.256138820346635</v>
      </c>
      <c r="AD60">
        <f t="shared" si="9"/>
        <v>-7.7560000000000002</v>
      </c>
      <c r="AE60">
        <f t="shared" si="10"/>
        <v>9.6858478662886753</v>
      </c>
      <c r="AF60">
        <f t="shared" si="11"/>
        <v>-13.759350704161431</v>
      </c>
      <c r="AG60">
        <f t="shared" si="12"/>
        <v>-1.7526492958385695</v>
      </c>
      <c r="AN60">
        <f t="shared" si="13"/>
        <v>1.9759999999999998</v>
      </c>
      <c r="AO60">
        <f t="shared" si="14"/>
        <v>9.890187280554624</v>
      </c>
      <c r="AP60">
        <f t="shared" si="15"/>
        <v>-4.1540015852671512</v>
      </c>
      <c r="AQ60">
        <f t="shared" si="16"/>
        <v>8.1060015852671512</v>
      </c>
    </row>
    <row r="61" spans="10:43" x14ac:dyDescent="0.2">
      <c r="J61">
        <f t="shared" si="0"/>
        <v>75.230999999999995</v>
      </c>
      <c r="K61">
        <f t="shared" si="1"/>
        <v>8.9651156651149027</v>
      </c>
      <c r="L61">
        <f t="shared" si="2"/>
        <v>69.674363742230781</v>
      </c>
      <c r="M61">
        <f t="shared" si="3"/>
        <v>80.787636257769208</v>
      </c>
      <c r="N61">
        <f t="shared" si="4"/>
        <v>2.8350184988618436</v>
      </c>
      <c r="T61">
        <f t="shared" si="5"/>
        <v>79.169999999999987</v>
      </c>
      <c r="U61">
        <f t="shared" si="6"/>
        <v>3.4077167331416121</v>
      </c>
      <c r="V61">
        <f t="shared" si="7"/>
        <v>77.057875286510438</v>
      </c>
      <c r="W61">
        <f t="shared" si="8"/>
        <v>81.282124713489537</v>
      </c>
      <c r="AD61">
        <f t="shared" si="9"/>
        <v>-8.0169999999999995</v>
      </c>
      <c r="AE61">
        <f t="shared" si="10"/>
        <v>9.0739089334935112</v>
      </c>
      <c r="AF61">
        <f t="shared" si="11"/>
        <v>-13.641067024114607</v>
      </c>
      <c r="AG61">
        <f t="shared" si="12"/>
        <v>-2.3929329758853921</v>
      </c>
      <c r="AN61">
        <f t="shared" si="13"/>
        <v>2.7969999999999997</v>
      </c>
      <c r="AO61">
        <f t="shared" si="14"/>
        <v>9.791697219810489</v>
      </c>
      <c r="AP61">
        <f t="shared" si="15"/>
        <v>-3.2719568131745493</v>
      </c>
      <c r="AQ61">
        <f t="shared" si="16"/>
        <v>8.8659568131745488</v>
      </c>
    </row>
    <row r="62" spans="10:43" x14ac:dyDescent="0.2">
      <c r="J62">
        <f t="shared" si="0"/>
        <v>74.78</v>
      </c>
      <c r="K62">
        <f t="shared" si="1"/>
        <v>8.4920708114490644</v>
      </c>
      <c r="L62">
        <f t="shared" si="2"/>
        <v>69.516559980139789</v>
      </c>
      <c r="M62">
        <f t="shared" si="3"/>
        <v>80.043440019860213</v>
      </c>
      <c r="N62">
        <f t="shared" si="4"/>
        <v>2.6854285815613337</v>
      </c>
      <c r="T62">
        <f t="shared" si="5"/>
        <v>77.896000000000001</v>
      </c>
      <c r="U62">
        <f t="shared" si="6"/>
        <v>3.7225654236471541</v>
      </c>
      <c r="V62">
        <f t="shared" si="7"/>
        <v>75.588730046367928</v>
      </c>
      <c r="W62">
        <f t="shared" si="8"/>
        <v>80.203269953632073</v>
      </c>
      <c r="AD62">
        <f t="shared" si="9"/>
        <v>-8.7010000000000005</v>
      </c>
      <c r="AE62">
        <f t="shared" si="10"/>
        <v>8.7622478724227939</v>
      </c>
      <c r="AF62">
        <f t="shared" si="11"/>
        <v>-14.131897497164822</v>
      </c>
      <c r="AG62">
        <f t="shared" si="12"/>
        <v>-3.2701025028351802</v>
      </c>
      <c r="AN62">
        <f t="shared" si="13"/>
        <v>2.7629999999999995</v>
      </c>
      <c r="AO62">
        <f t="shared" si="14"/>
        <v>9.6503575638994388</v>
      </c>
      <c r="AP62">
        <f t="shared" si="15"/>
        <v>-3.2183535868434032</v>
      </c>
      <c r="AQ62">
        <f t="shared" si="16"/>
        <v>8.7443535868434026</v>
      </c>
    </row>
    <row r="63" spans="10:43" x14ac:dyDescent="0.2">
      <c r="J63">
        <f t="shared" si="0"/>
        <v>73.565000000000012</v>
      </c>
      <c r="K63">
        <f t="shared" si="1"/>
        <v>8.9662791118228586</v>
      </c>
      <c r="L63">
        <f t="shared" si="2"/>
        <v>68.007642630490253</v>
      </c>
      <c r="M63">
        <f t="shared" si="3"/>
        <v>79.122357369509771</v>
      </c>
      <c r="N63">
        <f t="shared" si="4"/>
        <v>2.83538641301518</v>
      </c>
      <c r="T63">
        <f t="shared" si="5"/>
        <v>76.914999999999992</v>
      </c>
      <c r="U63">
        <f t="shared" si="6"/>
        <v>4.2738955688380296</v>
      </c>
      <c r="V63">
        <f t="shared" si="7"/>
        <v>74.266012082071086</v>
      </c>
      <c r="W63">
        <f t="shared" si="8"/>
        <v>79.563987917928898</v>
      </c>
      <c r="AD63">
        <f t="shared" si="9"/>
        <v>-9.4750000000000014</v>
      </c>
      <c r="AE63">
        <f t="shared" si="10"/>
        <v>9.3490893793043917</v>
      </c>
      <c r="AF63">
        <f t="shared" si="11"/>
        <v>-15.269625631469982</v>
      </c>
      <c r="AG63">
        <f t="shared" si="12"/>
        <v>-3.6803743685300221</v>
      </c>
      <c r="AN63">
        <f t="shared" si="13"/>
        <v>3.0640000000000005</v>
      </c>
      <c r="AO63">
        <f t="shared" si="14"/>
        <v>9.4057597011382086</v>
      </c>
      <c r="AP63">
        <f t="shared" si="15"/>
        <v>-2.7657502608449875</v>
      </c>
      <c r="AQ63">
        <f t="shared" si="16"/>
        <v>8.893750260844989</v>
      </c>
    </row>
    <row r="64" spans="10:43" x14ac:dyDescent="0.2">
      <c r="J64">
        <f t="shared" si="0"/>
        <v>72.956999999999994</v>
      </c>
      <c r="K64">
        <f t="shared" si="1"/>
        <v>9.6214875842217804</v>
      </c>
      <c r="L64">
        <f t="shared" si="2"/>
        <v>66.993540211946282</v>
      </c>
      <c r="M64">
        <f t="shared" si="3"/>
        <v>78.920459788053705</v>
      </c>
      <c r="N64">
        <f t="shared" si="4"/>
        <v>3.0425815245171961</v>
      </c>
      <c r="T64">
        <f t="shared" si="5"/>
        <v>75.866</v>
      </c>
      <c r="U64">
        <f t="shared" si="6"/>
        <v>4.1658377842211314</v>
      </c>
      <c r="V64">
        <f t="shared" si="7"/>
        <v>73.283986990858153</v>
      </c>
      <c r="W64">
        <f t="shared" si="8"/>
        <v>78.448013009141846</v>
      </c>
      <c r="AD64">
        <f t="shared" si="9"/>
        <v>-11.289</v>
      </c>
      <c r="AE64">
        <f t="shared" si="10"/>
        <v>10.136666611860132</v>
      </c>
      <c r="AF64">
        <f t="shared" si="11"/>
        <v>-17.571771057550958</v>
      </c>
      <c r="AG64">
        <f t="shared" si="12"/>
        <v>-5.0062289424490416</v>
      </c>
      <c r="AN64">
        <f t="shared" si="13"/>
        <v>3.6109999999999998</v>
      </c>
      <c r="AO64">
        <f t="shared" si="14"/>
        <v>10.58064212502142</v>
      </c>
      <c r="AP64">
        <f t="shared" si="15"/>
        <v>-2.946949931549578</v>
      </c>
      <c r="AQ64">
        <f t="shared" si="16"/>
        <v>10.168949931549577</v>
      </c>
    </row>
    <row r="65" spans="10:43" x14ac:dyDescent="0.2">
      <c r="J65">
        <f t="shared" si="0"/>
        <v>71.937000000000012</v>
      </c>
      <c r="K65">
        <f t="shared" si="1"/>
        <v>10.18289311650771</v>
      </c>
      <c r="L65">
        <f t="shared" si="2"/>
        <v>65.625577458029937</v>
      </c>
      <c r="M65">
        <f t="shared" si="3"/>
        <v>78.248422541970086</v>
      </c>
      <c r="N65">
        <f t="shared" si="4"/>
        <v>3.2201135418214695</v>
      </c>
      <c r="T65">
        <f t="shared" si="5"/>
        <v>75.217000000000013</v>
      </c>
      <c r="U65">
        <f t="shared" si="6"/>
        <v>4.0389411428684561</v>
      </c>
      <c r="V65">
        <f t="shared" si="7"/>
        <v>72.713638344021746</v>
      </c>
      <c r="W65">
        <f t="shared" si="8"/>
        <v>77.72036165597828</v>
      </c>
      <c r="AD65">
        <f t="shared" si="9"/>
        <v>-12.053000000000001</v>
      </c>
      <c r="AE65">
        <f t="shared" si="10"/>
        <v>10.402270104805647</v>
      </c>
      <c r="AF65">
        <f t="shared" si="11"/>
        <v>-18.500393808022999</v>
      </c>
      <c r="AG65">
        <f t="shared" si="12"/>
        <v>-5.6056061919770022</v>
      </c>
      <c r="AN65">
        <f t="shared" si="13"/>
        <v>3.8289999999999993</v>
      </c>
      <c r="AO65">
        <f t="shared" si="14"/>
        <v>11.354261510307239</v>
      </c>
      <c r="AP65">
        <f t="shared" si="15"/>
        <v>-3.2084441942638366</v>
      </c>
      <c r="AQ65">
        <f t="shared" si="16"/>
        <v>10.866444194263835</v>
      </c>
    </row>
    <row r="66" spans="10:43" x14ac:dyDescent="0.2">
      <c r="J66">
        <f t="shared" si="0"/>
        <v>71.28</v>
      </c>
      <c r="K66">
        <f t="shared" si="1"/>
        <v>9.8224470813879652</v>
      </c>
      <c r="L66">
        <f t="shared" si="2"/>
        <v>65.191984225162784</v>
      </c>
      <c r="M66">
        <f t="shared" si="3"/>
        <v>77.368015774837218</v>
      </c>
      <c r="N66">
        <f t="shared" si="4"/>
        <v>3.1061304973659261</v>
      </c>
      <c r="T66">
        <f t="shared" si="5"/>
        <v>74.717999999999989</v>
      </c>
      <c r="U66">
        <f t="shared" si="6"/>
        <v>4.1820430945226335</v>
      </c>
      <c r="V66">
        <f t="shared" si="7"/>
        <v>72.1259428354726</v>
      </c>
      <c r="W66">
        <f t="shared" si="8"/>
        <v>77.310057164527379</v>
      </c>
      <c r="AD66">
        <f t="shared" si="9"/>
        <v>-12.878</v>
      </c>
      <c r="AE66">
        <f t="shared" si="10"/>
        <v>10.601884318889311</v>
      </c>
      <c r="AF66">
        <f t="shared" si="11"/>
        <v>-19.449115979713373</v>
      </c>
      <c r="AG66">
        <f t="shared" si="12"/>
        <v>-6.3068840202866285</v>
      </c>
      <c r="AN66">
        <f t="shared" si="13"/>
        <v>3.6739999999999995</v>
      </c>
      <c r="AO66">
        <f t="shared" si="14"/>
        <v>11.403451914028294</v>
      </c>
      <c r="AP66">
        <f t="shared" si="15"/>
        <v>-3.3939327223610603</v>
      </c>
      <c r="AQ66">
        <f t="shared" si="16"/>
        <v>10.74193272236106</v>
      </c>
    </row>
    <row r="67" spans="10:43" x14ac:dyDescent="0.2">
      <c r="J67">
        <f t="shared" si="0"/>
        <v>70.482000000000014</v>
      </c>
      <c r="K67">
        <f t="shared" si="1"/>
        <v>9.5954396575779874</v>
      </c>
      <c r="L67">
        <f t="shared" si="2"/>
        <v>64.534684884144099</v>
      </c>
      <c r="M67">
        <f t="shared" si="3"/>
        <v>76.429315115855928</v>
      </c>
      <c r="N67">
        <f t="shared" si="4"/>
        <v>3.0343444468652589</v>
      </c>
      <c r="T67">
        <f t="shared" si="5"/>
        <v>74.025999999999982</v>
      </c>
      <c r="U67">
        <f t="shared" si="6"/>
        <v>4.0560769223475051</v>
      </c>
      <c r="V67">
        <f t="shared" si="7"/>
        <v>71.512017477865029</v>
      </c>
      <c r="W67">
        <f t="shared" si="8"/>
        <v>76.539982522134935</v>
      </c>
      <c r="AD67">
        <f t="shared" si="9"/>
        <v>-14.02</v>
      </c>
      <c r="AE67">
        <f t="shared" si="10"/>
        <v>10.724863117489608</v>
      </c>
      <c r="AF67">
        <f t="shared" si="11"/>
        <v>-20.667339028781033</v>
      </c>
      <c r="AG67">
        <f t="shared" si="12"/>
        <v>-7.3726609712189672</v>
      </c>
      <c r="AN67">
        <f t="shared" si="13"/>
        <v>4.0150000000000006</v>
      </c>
      <c r="AO67">
        <f t="shared" si="14"/>
        <v>11.833314788717864</v>
      </c>
      <c r="AP67">
        <f t="shared" si="15"/>
        <v>-3.3193644924121095</v>
      </c>
      <c r="AQ67">
        <f t="shared" si="16"/>
        <v>11.349364492412111</v>
      </c>
    </row>
    <row r="68" spans="10:43" x14ac:dyDescent="0.2">
      <c r="J68">
        <f t="shared" si="0"/>
        <v>69.36999999999999</v>
      </c>
      <c r="K68">
        <f t="shared" si="1"/>
        <v>9.6462232102633081</v>
      </c>
      <c r="L68">
        <f t="shared" si="2"/>
        <v>63.391208912088572</v>
      </c>
      <c r="M68">
        <f t="shared" si="3"/>
        <v>75.348791087911408</v>
      </c>
      <c r="N68">
        <f t="shared" si="4"/>
        <v>3.0504036162813364</v>
      </c>
      <c r="T68">
        <f t="shared" si="5"/>
        <v>73.561999999999983</v>
      </c>
      <c r="U68">
        <f t="shared" si="6"/>
        <v>3.7258043128669232</v>
      </c>
      <c r="V68">
        <f t="shared" si="7"/>
        <v>71.252722562031323</v>
      </c>
      <c r="W68">
        <f t="shared" si="8"/>
        <v>75.871277437968644</v>
      </c>
      <c r="AD68">
        <f t="shared" si="9"/>
        <v>-15.535</v>
      </c>
      <c r="AE68">
        <f t="shared" si="10"/>
        <v>12.487924166970265</v>
      </c>
      <c r="AF68">
        <f t="shared" si="11"/>
        <v>-23.275095588557029</v>
      </c>
      <c r="AG68">
        <f t="shared" si="12"/>
        <v>-7.7949044114429711</v>
      </c>
      <c r="AN68">
        <f t="shared" si="13"/>
        <v>4.3629999999999995</v>
      </c>
      <c r="AO68">
        <f t="shared" si="14"/>
        <v>12.561552496053629</v>
      </c>
      <c r="AP68">
        <f t="shared" si="15"/>
        <v>-3.422730899719336</v>
      </c>
      <c r="AQ68">
        <f t="shared" si="16"/>
        <v>12.148730899719336</v>
      </c>
    </row>
    <row r="69" spans="10:43" x14ac:dyDescent="0.2">
      <c r="J69">
        <f t="shared" si="0"/>
        <v>68.751000000000005</v>
      </c>
      <c r="K69">
        <f t="shared" si="1"/>
        <v>9.6190291147864873</v>
      </c>
      <c r="L69">
        <f t="shared" si="2"/>
        <v>62.789063987089094</v>
      </c>
      <c r="M69">
        <f t="shared" si="3"/>
        <v>74.712936012910916</v>
      </c>
      <c r="N69">
        <f t="shared" si="4"/>
        <v>3.0418040882198527</v>
      </c>
      <c r="T69">
        <f t="shared" si="5"/>
        <v>72.796999999999997</v>
      </c>
      <c r="U69">
        <f t="shared" si="6"/>
        <v>4.1540610651907075</v>
      </c>
      <c r="V69">
        <f t="shared" si="7"/>
        <v>70.222286276936146</v>
      </c>
      <c r="W69">
        <f t="shared" si="8"/>
        <v>75.371713723063849</v>
      </c>
      <c r="AD69">
        <f t="shared" si="9"/>
        <v>-16.334</v>
      </c>
      <c r="AE69">
        <f t="shared" si="10"/>
        <v>13.38991096144988</v>
      </c>
      <c r="AF69">
        <f t="shared" si="11"/>
        <v>-24.633152795787183</v>
      </c>
      <c r="AG69">
        <f t="shared" si="12"/>
        <v>-8.0348472042128147</v>
      </c>
      <c r="AN69">
        <f t="shared" si="13"/>
        <v>4.694</v>
      </c>
      <c r="AO69">
        <f t="shared" si="14"/>
        <v>12.908184483755516</v>
      </c>
      <c r="AP69">
        <f t="shared" si="15"/>
        <v>-3.3065756315571848</v>
      </c>
      <c r="AQ69">
        <f t="shared" si="16"/>
        <v>12.694575631557186</v>
      </c>
    </row>
    <row r="70" spans="10:43" x14ac:dyDescent="0.2">
      <c r="J70">
        <f t="shared" si="0"/>
        <v>67.972999999999999</v>
      </c>
      <c r="K70">
        <f t="shared" si="1"/>
        <v>9.9631120193998974</v>
      </c>
      <c r="L70">
        <f t="shared" si="2"/>
        <v>61.797799193318141</v>
      </c>
      <c r="M70">
        <f t="shared" si="3"/>
        <v>74.148200806681857</v>
      </c>
      <c r="N70">
        <f t="shared" si="4"/>
        <v>3.1506126564703361</v>
      </c>
      <c r="T70">
        <f t="shared" si="5"/>
        <v>71.616</v>
      </c>
      <c r="U70">
        <f t="shared" si="6"/>
        <v>4.3006722988647041</v>
      </c>
      <c r="V70">
        <f t="shared" si="7"/>
        <v>68.950415692856652</v>
      </c>
      <c r="W70">
        <f t="shared" si="8"/>
        <v>74.281584307143348</v>
      </c>
      <c r="AD70">
        <f t="shared" si="9"/>
        <v>-17.040000000000003</v>
      </c>
      <c r="AE70">
        <f t="shared" si="10"/>
        <v>13.454334287177161</v>
      </c>
      <c r="AF70">
        <f t="shared" si="11"/>
        <v>-25.379082786760449</v>
      </c>
      <c r="AG70">
        <f t="shared" si="12"/>
        <v>-8.7009172132395562</v>
      </c>
      <c r="AN70">
        <f t="shared" si="13"/>
        <v>5.1150000000000002</v>
      </c>
      <c r="AO70">
        <f t="shared" si="14"/>
        <v>13.330233181256308</v>
      </c>
      <c r="AP70">
        <f t="shared" si="15"/>
        <v>-3.1471641244087269</v>
      </c>
      <c r="AQ70">
        <f t="shared" si="16"/>
        <v>13.377164124408727</v>
      </c>
    </row>
    <row r="71" spans="10:43" x14ac:dyDescent="0.2">
      <c r="J71">
        <f t="shared" si="0"/>
        <v>67.623000000000019</v>
      </c>
      <c r="K71">
        <f t="shared" si="1"/>
        <v>10.110447896441784</v>
      </c>
      <c r="L71">
        <f t="shared" si="2"/>
        <v>61.356479470626027</v>
      </c>
      <c r="M71">
        <f t="shared" si="3"/>
        <v>73.88952052937401</v>
      </c>
      <c r="N71">
        <f t="shared" si="4"/>
        <v>3.1972043517214233</v>
      </c>
      <c r="T71">
        <f t="shared" si="5"/>
        <v>70.977999999999994</v>
      </c>
      <c r="U71">
        <f t="shared" si="6"/>
        <v>4.4633838682725422</v>
      </c>
      <c r="V71">
        <f t="shared" si="7"/>
        <v>68.211566017302729</v>
      </c>
      <c r="W71">
        <f t="shared" si="8"/>
        <v>73.744433982697259</v>
      </c>
      <c r="AD71">
        <f t="shared" si="9"/>
        <v>-18.264000000000003</v>
      </c>
      <c r="AE71">
        <f t="shared" si="10"/>
        <v>13.422564914683365</v>
      </c>
      <c r="AF71">
        <f t="shared" si="11"/>
        <v>-26.58339192568517</v>
      </c>
      <c r="AG71">
        <f t="shared" si="12"/>
        <v>-9.9446080743148375</v>
      </c>
      <c r="AN71">
        <f t="shared" si="13"/>
        <v>5.2299999999999995</v>
      </c>
      <c r="AO71">
        <f t="shared" si="14"/>
        <v>13.725604621371776</v>
      </c>
      <c r="AP71">
        <f t="shared" si="15"/>
        <v>-3.2772178818276947</v>
      </c>
      <c r="AQ71">
        <f t="shared" si="16"/>
        <v>13.737217881827693</v>
      </c>
    </row>
    <row r="72" spans="10:43" x14ac:dyDescent="0.2">
      <c r="J72">
        <f t="shared" si="0"/>
        <v>66.496000000000009</v>
      </c>
      <c r="K72">
        <f t="shared" si="1"/>
        <v>10.667816812992006</v>
      </c>
      <c r="L72">
        <f t="shared" si="2"/>
        <v>59.884018637063335</v>
      </c>
      <c r="M72">
        <f t="shared" si="3"/>
        <v>73.107981362936684</v>
      </c>
      <c r="N72">
        <f t="shared" si="4"/>
        <v>3.3734598790493258</v>
      </c>
      <c r="T72">
        <f t="shared" si="5"/>
        <v>69.905000000000001</v>
      </c>
      <c r="U72">
        <f t="shared" si="6"/>
        <v>4.6983951160653445</v>
      </c>
      <c r="V72">
        <f t="shared" si="7"/>
        <v>66.992904536821186</v>
      </c>
      <c r="W72">
        <f t="shared" si="8"/>
        <v>72.817095463178816</v>
      </c>
      <c r="AD72">
        <f t="shared" si="9"/>
        <v>-19.145000000000003</v>
      </c>
      <c r="AE72">
        <f t="shared" si="10"/>
        <v>13.525808458071715</v>
      </c>
      <c r="AF72">
        <f t="shared" si="11"/>
        <v>-27.528382936844636</v>
      </c>
      <c r="AG72">
        <f t="shared" si="12"/>
        <v>-10.76161706315537</v>
      </c>
      <c r="AN72">
        <f t="shared" si="13"/>
        <v>5.6579999999999995</v>
      </c>
      <c r="AO72">
        <f t="shared" si="14"/>
        <v>13.712168804873039</v>
      </c>
      <c r="AP72">
        <f t="shared" si="15"/>
        <v>-2.8408902764851209</v>
      </c>
      <c r="AQ72">
        <f t="shared" si="16"/>
        <v>14.15689027648512</v>
      </c>
    </row>
    <row r="73" spans="10:43" x14ac:dyDescent="0.2">
      <c r="J73">
        <f t="shared" si="0"/>
        <v>65.586999999999989</v>
      </c>
      <c r="K73">
        <f t="shared" si="1"/>
        <v>10.889185307756879</v>
      </c>
      <c r="L73">
        <f t="shared" si="2"/>
        <v>58.837813022513942</v>
      </c>
      <c r="M73">
        <f t="shared" si="3"/>
        <v>72.336186977486037</v>
      </c>
      <c r="N73">
        <f t="shared" si="4"/>
        <v>3.4434627436153313</v>
      </c>
      <c r="T73">
        <f t="shared" si="5"/>
        <v>69.025000000000006</v>
      </c>
      <c r="U73">
        <f t="shared" si="6"/>
        <v>4.7387580417001445</v>
      </c>
      <c r="V73">
        <f t="shared" si="7"/>
        <v>66.087887336326531</v>
      </c>
      <c r="W73">
        <f t="shared" si="8"/>
        <v>71.96211266367348</v>
      </c>
      <c r="AD73">
        <f t="shared" si="9"/>
        <v>-20.156999999999996</v>
      </c>
      <c r="AE73">
        <f t="shared" si="10"/>
        <v>13.508203310087799</v>
      </c>
      <c r="AF73">
        <f t="shared" si="11"/>
        <v>-28.529471153074624</v>
      </c>
      <c r="AG73">
        <f t="shared" si="12"/>
        <v>-11.784528846925371</v>
      </c>
      <c r="AN73">
        <f t="shared" si="13"/>
        <v>5.7009999999999996</v>
      </c>
      <c r="AO73">
        <f t="shared" si="14"/>
        <v>14.36081740941882</v>
      </c>
      <c r="AP73">
        <f t="shared" si="15"/>
        <v>-3.1999268468102064</v>
      </c>
      <c r="AQ73">
        <f t="shared" si="16"/>
        <v>14.601926846810205</v>
      </c>
    </row>
    <row r="74" spans="10:43" x14ac:dyDescent="0.2">
      <c r="J74">
        <f t="shared" si="0"/>
        <v>64.411000000000001</v>
      </c>
      <c r="K74">
        <f t="shared" si="1"/>
        <v>11.164342494447757</v>
      </c>
      <c r="L74">
        <f t="shared" si="2"/>
        <v>57.491268831310514</v>
      </c>
      <c r="M74">
        <f t="shared" si="3"/>
        <v>71.330731168689496</v>
      </c>
      <c r="N74">
        <f t="shared" si="4"/>
        <v>3.5304750860660659</v>
      </c>
      <c r="T74">
        <f t="shared" si="5"/>
        <v>68.275000000000006</v>
      </c>
      <c r="U74">
        <f t="shared" si="6"/>
        <v>5.0427797669319032</v>
      </c>
      <c r="V74">
        <f t="shared" si="7"/>
        <v>65.1494527187849</v>
      </c>
      <c r="W74">
        <f t="shared" si="8"/>
        <v>71.400547281215111</v>
      </c>
      <c r="AD74">
        <f t="shared" si="9"/>
        <v>-21.188000000000006</v>
      </c>
      <c r="AE74">
        <f t="shared" si="10"/>
        <v>13.925633279036973</v>
      </c>
      <c r="AF74">
        <f t="shared" si="11"/>
        <v>-29.819196928311214</v>
      </c>
      <c r="AG74">
        <f t="shared" si="12"/>
        <v>-12.556803071688799</v>
      </c>
      <c r="AN74">
        <f t="shared" si="13"/>
        <v>6.048</v>
      </c>
      <c r="AO74">
        <f t="shared" si="14"/>
        <v>14.871072441339107</v>
      </c>
      <c r="AP74">
        <f t="shared" si="15"/>
        <v>-3.1691861921424902</v>
      </c>
      <c r="AQ74">
        <f t="shared" si="16"/>
        <v>15.26518619214249</v>
      </c>
    </row>
    <row r="75" spans="10:43" x14ac:dyDescent="0.2">
      <c r="J75">
        <f t="shared" si="0"/>
        <v>64.583999999999989</v>
      </c>
      <c r="K75">
        <f t="shared" si="1"/>
        <v>10.730191258521218</v>
      </c>
      <c r="L75">
        <f t="shared" si="2"/>
        <v>57.933358555193479</v>
      </c>
      <c r="M75">
        <f t="shared" si="3"/>
        <v>71.234641444806499</v>
      </c>
      <c r="N75">
        <f t="shared" si="4"/>
        <v>3.3931844106155675</v>
      </c>
      <c r="T75">
        <f t="shared" si="5"/>
        <v>67.460999999999984</v>
      </c>
      <c r="U75">
        <f t="shared" si="6"/>
        <v>5.1249681841830874</v>
      </c>
      <c r="V75">
        <f t="shared" si="7"/>
        <v>64.284511810008468</v>
      </c>
      <c r="W75">
        <f t="shared" si="8"/>
        <v>70.637488189991501</v>
      </c>
      <c r="AD75">
        <f t="shared" si="9"/>
        <v>-21.776000000000003</v>
      </c>
      <c r="AE75">
        <f t="shared" si="10"/>
        <v>13.797077146184902</v>
      </c>
      <c r="AF75">
        <f t="shared" si="11"/>
        <v>-30.327517011660042</v>
      </c>
      <c r="AG75">
        <f t="shared" si="12"/>
        <v>-13.224482988339963</v>
      </c>
      <c r="AN75">
        <f t="shared" si="13"/>
        <v>6.1180000000000003</v>
      </c>
      <c r="AO75">
        <f t="shared" si="14"/>
        <v>15.054396773774172</v>
      </c>
      <c r="AP75">
        <f t="shared" si="15"/>
        <v>-3.2128117905833289</v>
      </c>
      <c r="AQ75">
        <f t="shared" si="16"/>
        <v>15.44881179058333</v>
      </c>
    </row>
    <row r="76" spans="10:43" x14ac:dyDescent="0.2">
      <c r="J76">
        <f t="shared" si="0"/>
        <v>64.205000000000013</v>
      </c>
      <c r="K76">
        <f t="shared" si="1"/>
        <v>10.889705893385818</v>
      </c>
      <c r="L76">
        <f t="shared" si="2"/>
        <v>57.455490360198262</v>
      </c>
      <c r="M76">
        <f t="shared" si="3"/>
        <v>70.954509639801756</v>
      </c>
      <c r="N76">
        <f t="shared" si="4"/>
        <v>3.4436273672457913</v>
      </c>
      <c r="T76">
        <f t="shared" si="5"/>
        <v>66.917999999999992</v>
      </c>
      <c r="U76">
        <f t="shared" si="6"/>
        <v>5.3122474841947387</v>
      </c>
      <c r="V76">
        <f t="shared" si="7"/>
        <v>63.625434897267269</v>
      </c>
      <c r="W76">
        <f t="shared" si="8"/>
        <v>70.210565102732716</v>
      </c>
      <c r="AD76">
        <f t="shared" si="9"/>
        <v>-22.725000000000001</v>
      </c>
      <c r="AE76">
        <f t="shared" si="10"/>
        <v>14.256911968897361</v>
      </c>
      <c r="AF76">
        <f t="shared" si="11"/>
        <v>-31.561525587557338</v>
      </c>
      <c r="AG76">
        <f t="shared" si="12"/>
        <v>-13.888474412442665</v>
      </c>
      <c r="AN76">
        <f t="shared" si="13"/>
        <v>6.4870000000000001</v>
      </c>
      <c r="AO76">
        <f t="shared" si="14"/>
        <v>15.305503040845581</v>
      </c>
      <c r="AP76">
        <f t="shared" si="15"/>
        <v>-2.9994490673662142</v>
      </c>
      <c r="AQ76">
        <f t="shared" si="16"/>
        <v>15.973449067366214</v>
      </c>
    </row>
    <row r="77" spans="10:43" x14ac:dyDescent="0.2">
      <c r="J77">
        <f t="shared" si="0"/>
        <v>64.564999999999998</v>
      </c>
      <c r="K77">
        <f t="shared" si="1"/>
        <v>10.61660465706645</v>
      </c>
      <c r="L77">
        <f t="shared" si="2"/>
        <v>57.984760260159362</v>
      </c>
      <c r="M77">
        <f t="shared" si="3"/>
        <v>71.145239739840633</v>
      </c>
      <c r="N77">
        <f t="shared" si="4"/>
        <v>3.3572651733880812</v>
      </c>
      <c r="T77">
        <f t="shared" si="5"/>
        <v>66.340999999999994</v>
      </c>
      <c r="U77">
        <f t="shared" si="6"/>
        <v>4.8645667844115366</v>
      </c>
      <c r="V77">
        <f t="shared" si="7"/>
        <v>63.325910269726613</v>
      </c>
      <c r="W77">
        <f t="shared" si="8"/>
        <v>69.356089730273368</v>
      </c>
      <c r="AD77">
        <f t="shared" si="9"/>
        <v>-23.838999999999995</v>
      </c>
      <c r="AE77">
        <f t="shared" si="10"/>
        <v>14.832596573463174</v>
      </c>
      <c r="AF77">
        <f t="shared" si="11"/>
        <v>-33.032338602164316</v>
      </c>
      <c r="AG77">
        <f t="shared" si="12"/>
        <v>-14.645661397835676</v>
      </c>
      <c r="AN77">
        <f t="shared" si="13"/>
        <v>6.5240000000000009</v>
      </c>
      <c r="AO77">
        <f t="shared" si="14"/>
        <v>15.171672580466824</v>
      </c>
      <c r="AP77">
        <f t="shared" si="15"/>
        <v>-2.8795000886454769</v>
      </c>
      <c r="AQ77">
        <f t="shared" si="16"/>
        <v>15.927500088645479</v>
      </c>
    </row>
    <row r="78" spans="10:43" x14ac:dyDescent="0.2">
      <c r="J78">
        <f t="shared" si="0"/>
        <v>63.363999999999997</v>
      </c>
      <c r="K78">
        <f t="shared" si="1"/>
        <v>11.104778951224395</v>
      </c>
      <c r="L78">
        <f t="shared" si="2"/>
        <v>56.48118669788127</v>
      </c>
      <c r="M78">
        <f t="shared" si="3"/>
        <v>70.246813302118724</v>
      </c>
      <c r="N78">
        <f t="shared" si="4"/>
        <v>3.5116394398564945</v>
      </c>
      <c r="T78">
        <f t="shared" si="5"/>
        <v>65.477000000000004</v>
      </c>
      <c r="U78">
        <f t="shared" si="6"/>
        <v>5.1092901224686358</v>
      </c>
      <c r="V78">
        <f t="shared" si="7"/>
        <v>62.310229173334108</v>
      </c>
      <c r="W78">
        <f t="shared" si="8"/>
        <v>68.6437708266659</v>
      </c>
      <c r="AD78">
        <f t="shared" si="9"/>
        <v>-24.198999999999998</v>
      </c>
      <c r="AE78">
        <f t="shared" si="10"/>
        <v>14.950409470423663</v>
      </c>
      <c r="AF78">
        <f t="shared" si="11"/>
        <v>-33.465359792223339</v>
      </c>
      <c r="AG78">
        <f t="shared" si="12"/>
        <v>-14.932640207776656</v>
      </c>
      <c r="AN78">
        <f t="shared" si="13"/>
        <v>6.65</v>
      </c>
      <c r="AO78">
        <f t="shared" si="14"/>
        <v>16.071818676041477</v>
      </c>
      <c r="AP78">
        <f t="shared" si="15"/>
        <v>-3.3114164188744883</v>
      </c>
      <c r="AQ78">
        <f t="shared" si="16"/>
        <v>16.611416418874491</v>
      </c>
    </row>
    <row r="79" spans="10:43" x14ac:dyDescent="0.2">
      <c r="J79">
        <f t="shared" si="0"/>
        <v>62.581999999999994</v>
      </c>
      <c r="K79">
        <f t="shared" si="1"/>
        <v>11.731729814671199</v>
      </c>
      <c r="L79">
        <f t="shared" si="2"/>
        <v>55.310598526819049</v>
      </c>
      <c r="M79">
        <f t="shared" si="3"/>
        <v>69.853401473180938</v>
      </c>
      <c r="N79">
        <f t="shared" si="4"/>
        <v>3.7098987108066055</v>
      </c>
      <c r="T79">
        <f t="shared" si="5"/>
        <v>64.921999999999997</v>
      </c>
      <c r="U79">
        <f t="shared" si="6"/>
        <v>5.3159337007821232</v>
      </c>
      <c r="V79">
        <f t="shared" si="7"/>
        <v>61.627150156555771</v>
      </c>
      <c r="W79">
        <f t="shared" si="8"/>
        <v>68.216849843444223</v>
      </c>
      <c r="AD79">
        <f t="shared" si="9"/>
        <v>-25.024000000000001</v>
      </c>
      <c r="AE79">
        <f t="shared" si="10"/>
        <v>15.213917020646292</v>
      </c>
      <c r="AF79">
        <f t="shared" si="11"/>
        <v>-34.453683463936869</v>
      </c>
      <c r="AG79">
        <f t="shared" si="12"/>
        <v>-15.594316536063134</v>
      </c>
      <c r="AN79">
        <f t="shared" si="13"/>
        <v>6.8370000000000015</v>
      </c>
      <c r="AO79">
        <f t="shared" si="14"/>
        <v>16.552795702102877</v>
      </c>
      <c r="AP79">
        <f t="shared" si="15"/>
        <v>-3.422529068169851</v>
      </c>
      <c r="AQ79">
        <f t="shared" si="16"/>
        <v>17.096529068169854</v>
      </c>
    </row>
    <row r="80" spans="10:43" x14ac:dyDescent="0.2">
      <c r="J80">
        <f t="shared" si="0"/>
        <v>61.819000000000003</v>
      </c>
      <c r="K80">
        <f t="shared" si="1"/>
        <v>12.135339074143907</v>
      </c>
      <c r="L80">
        <f t="shared" si="2"/>
        <v>54.297438916064195</v>
      </c>
      <c r="M80">
        <f t="shared" si="3"/>
        <v>69.34056108393581</v>
      </c>
      <c r="N80">
        <f t="shared" si="4"/>
        <v>3.8375311652733699</v>
      </c>
      <c r="T80">
        <f t="shared" si="5"/>
        <v>63.803999999999995</v>
      </c>
      <c r="U80">
        <f t="shared" si="6"/>
        <v>5.762453566937535</v>
      </c>
      <c r="V80">
        <f t="shared" si="7"/>
        <v>60.232394276233101</v>
      </c>
      <c r="W80">
        <f t="shared" si="8"/>
        <v>67.375605723766895</v>
      </c>
      <c r="AD80">
        <f t="shared" si="9"/>
        <v>-26.07</v>
      </c>
      <c r="AE80">
        <f t="shared" si="10"/>
        <v>16.362308992179422</v>
      </c>
      <c r="AF80">
        <f t="shared" si="11"/>
        <v>-36.211464182169266</v>
      </c>
      <c r="AG80">
        <f t="shared" si="12"/>
        <v>-15.928535817830731</v>
      </c>
      <c r="AN80">
        <f t="shared" si="13"/>
        <v>6.62</v>
      </c>
      <c r="AO80">
        <f t="shared" si="14"/>
        <v>17.525212314453327</v>
      </c>
      <c r="AP80">
        <f t="shared" si="15"/>
        <v>-4.2422391287738934</v>
      </c>
      <c r="AQ80">
        <f t="shared" si="16"/>
        <v>17.482239128773895</v>
      </c>
    </row>
    <row r="81" spans="10:43" x14ac:dyDescent="0.2">
      <c r="J81">
        <f t="shared" si="0"/>
        <v>61.293000000000006</v>
      </c>
      <c r="K81">
        <f t="shared" si="1"/>
        <v>12.509273049311139</v>
      </c>
      <c r="L81">
        <f t="shared" si="2"/>
        <v>53.539672237078541</v>
      </c>
      <c r="M81">
        <f t="shared" si="3"/>
        <v>69.046327762921479</v>
      </c>
      <c r="N81">
        <f t="shared" si="4"/>
        <v>3.9557794708782992</v>
      </c>
      <c r="T81">
        <f t="shared" si="5"/>
        <v>63.463000000000008</v>
      </c>
      <c r="U81">
        <f t="shared" si="6"/>
        <v>5.8359023866636663</v>
      </c>
      <c r="V81">
        <f t="shared" si="7"/>
        <v>59.845870226123118</v>
      </c>
      <c r="W81">
        <f t="shared" si="8"/>
        <v>67.080129773876891</v>
      </c>
      <c r="AD81">
        <f t="shared" si="9"/>
        <v>-27.042000000000002</v>
      </c>
      <c r="AE81">
        <f t="shared" si="10"/>
        <v>16.49256047771572</v>
      </c>
      <c r="AF81">
        <f t="shared" si="11"/>
        <v>-37.264194889300647</v>
      </c>
      <c r="AG81">
        <f t="shared" si="12"/>
        <v>-16.819805110699356</v>
      </c>
      <c r="AN81">
        <f t="shared" si="13"/>
        <v>6.431</v>
      </c>
      <c r="AO81">
        <f t="shared" si="14"/>
        <v>18.096442529464799</v>
      </c>
      <c r="AP81">
        <f t="shared" si="15"/>
        <v>-4.7852912841317083</v>
      </c>
      <c r="AQ81">
        <f t="shared" si="16"/>
        <v>17.647291284131708</v>
      </c>
    </row>
    <row r="82" spans="10:43" x14ac:dyDescent="0.2">
      <c r="J82">
        <f t="shared" si="0"/>
        <v>60.234999999999999</v>
      </c>
      <c r="K82">
        <f t="shared" si="1"/>
        <v>12.879666360413045</v>
      </c>
      <c r="L82">
        <f t="shared" si="2"/>
        <v>52.252100084416554</v>
      </c>
      <c r="M82">
        <f t="shared" si="3"/>
        <v>68.217899915583445</v>
      </c>
      <c r="N82">
        <f t="shared" si="4"/>
        <v>4.0729081201956348</v>
      </c>
      <c r="T82">
        <f t="shared" si="5"/>
        <v>62.73299999999999</v>
      </c>
      <c r="U82">
        <f t="shared" si="6"/>
        <v>5.901030136058167</v>
      </c>
      <c r="V82">
        <f t="shared" si="7"/>
        <v>59.075503628837517</v>
      </c>
      <c r="W82">
        <f t="shared" si="8"/>
        <v>66.39049637116247</v>
      </c>
      <c r="AD82">
        <f t="shared" si="9"/>
        <v>-27.968</v>
      </c>
      <c r="AE82">
        <f t="shared" si="10"/>
        <v>17.339963347391731</v>
      </c>
      <c r="AF82">
        <f t="shared" si="11"/>
        <v>-38.715420629432693</v>
      </c>
      <c r="AG82">
        <f t="shared" si="12"/>
        <v>-17.220579370567307</v>
      </c>
      <c r="AN82">
        <f t="shared" si="13"/>
        <v>6.0730000000000004</v>
      </c>
      <c r="AO82">
        <f t="shared" si="14"/>
        <v>18.788778004140898</v>
      </c>
      <c r="AP82">
        <f t="shared" si="15"/>
        <v>-5.5724052570941254</v>
      </c>
      <c r="AQ82">
        <f t="shared" si="16"/>
        <v>17.718405257094126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Cytrynbaum, Eric</cp:lastModifiedBy>
  <dcterms:created xsi:type="dcterms:W3CDTF">2024-05-14T11:01:36Z</dcterms:created>
  <dcterms:modified xsi:type="dcterms:W3CDTF">2025-03-11T16:57:47Z</dcterms:modified>
</cp:coreProperties>
</file>